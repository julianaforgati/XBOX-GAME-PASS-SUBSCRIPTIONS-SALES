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lia\OneDrive\Área de Trabalho\DIO\Projeto Dashboard\"/>
    </mc:Choice>
  </mc:AlternateContent>
  <xr:revisionPtr revIDLastSave="0" documentId="13_ncr:10000001_{68FC475D-2290-493B-BE48-15F8DBB863A1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Meses__Start_Date">#N/A</definedName>
    <definedName name="SegmentaçãodeDados_Subscription_Type">#N/A</definedName>
  </definedNames>
  <calcPr calcId="191029"/>
  <pivotCaches>
    <pivotCache cacheId="3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3" l="1"/>
  <c r="E74" i="3"/>
  <c r="E64" i="3"/>
  <c r="G73" i="3"/>
  <c r="H12" i="3"/>
  <c r="F33" i="3"/>
  <c r="E33" i="3"/>
  <c r="F32" i="3"/>
  <c r="E32" i="3"/>
  <c r="E24" i="3"/>
</calcChain>
</file>

<file path=xl/sharedStrings.xml><?xml version="1.0" encoding="utf-8"?>
<sst xmlns="http://schemas.openxmlformats.org/spreadsheetml/2006/main" count="2120" uniqueCount="345">
  <si>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</si>
  <si>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</si>
  <si>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</si>
  <si>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</si>
  <si>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</si>
  <si>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</si>
  <si>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</si>
  <si>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</si>
  <si>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</si>
  <si>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</si>
  <si>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</si>
  <si>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</si>
  <si>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</si>
  <si>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</si>
  <si>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</si>
  <si>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</si>
  <si>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</si>
  <si>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</si>
  <si>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</si>
  <si>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</si>
  <si>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</si>
  <si>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</si>
  <si>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</si>
  <si>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</si>
  <si>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</si>
  <si>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</si>
  <si>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</si>
  <si>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</si>
  <si>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</si>
  <si>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</si>
  <si>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</si>
  <si>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</si>
  <si>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</si>
  <si>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</si>
  <si>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</si>
  <si>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</si>
  <si>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</si>
  <si>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</si>
  <si>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</si>
  <si>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</si>
  <si>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</si>
  <si>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</si>
  <si>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</si>
  <si>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</si>
  <si>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</si>
  <si>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</si>
  <si>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</si>
  <si>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</si>
  <si>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</si>
  <si>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</si>
  <si>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</si>
  <si>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</si>
  <si>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</si>
  <si>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</si>
  <si>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</si>
  <si>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</si>
  <si>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</si>
  <si>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</si>
  <si>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</si>
  <si>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</si>
  <si>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</si>
  <si>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</si>
  <si>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</si>
  <si>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</si>
  <si>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</si>
  <si>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</si>
  <si>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</si>
  <si>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</si>
  <si>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</si>
  <si>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</si>
  <si>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</si>
  <si>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</si>
  <si>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</si>
  <si>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</si>
  <si>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</si>
  <si>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</si>
  <si>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</si>
  <si>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</si>
  <si>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</si>
  <si>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</si>
  <si>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</si>
  <si>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</si>
  <si>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</si>
  <si>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</si>
  <si>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</si>
  <si>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</si>
  <si>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</si>
  <si>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</si>
  <si>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</si>
  <si>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</si>
  <si>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</si>
  <si>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</si>
  <si>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</si>
  <si>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</si>
  <si>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</si>
  <si>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</si>
  <si>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</si>
  <si>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</si>
  <si>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</si>
  <si>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</si>
  <si>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</si>
  <si>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</si>
  <si>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</si>
  <si>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</si>
  <si>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</si>
  <si>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</si>
  <si>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</si>
  <si>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</si>
  <si>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</si>
  <si>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</si>
  <si>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</si>
  <si>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</si>
  <si>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</si>
  <si>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</si>
  <si>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</si>
  <si>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</si>
  <si>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</si>
  <si>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</si>
  <si>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</si>
  <si>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</si>
  <si>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</si>
  <si>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</si>
  <si>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</si>
  <si>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</si>
  <si>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</si>
  <si>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</si>
  <si>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</si>
  <si>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</si>
  <si>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</si>
  <si>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</si>
  <si>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</si>
  <si>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</si>
  <si>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</si>
  <si>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</si>
  <si>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</si>
  <si>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</si>
  <si>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</si>
  <si>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</si>
  <si>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</si>
  <si>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</si>
  <si>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</si>
  <si>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</si>
  <si>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</si>
  <si>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</si>
  <si>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</si>
  <si>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</si>
  <si>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</si>
  <si>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</si>
  <si>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</si>
  <si>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</si>
  <si>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</si>
  <si>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</si>
  <si>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</si>
  <si>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</si>
  <si>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</si>
  <si>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</si>
  <si>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</si>
  <si>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</si>
  <si>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</si>
  <si>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</si>
  <si>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</si>
  <si>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</si>
  <si>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</si>
  <si>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</si>
  <si>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</si>
  <si>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</si>
  <si>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</si>
  <si>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</si>
  <si>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</si>
  <si>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</si>
  <si>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</si>
  <si>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</si>
  <si>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</si>
  <si>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</si>
  <si>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</si>
  <si>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</si>
  <si>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</si>
  <si>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</si>
  <si>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</si>
  <si>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</si>
  <si>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</si>
  <si>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</si>
  <si>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</si>
  <si>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</si>
  <si>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</si>
  <si>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</si>
  <si>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</si>
  <si>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</si>
  <si>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</si>
  <si>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</si>
  <si>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</si>
  <si>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</si>
  <si>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</si>
  <si>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</si>
  <si>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</si>
  <si>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</si>
  <si>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</si>
  <si>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</si>
  <si>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</si>
  <si>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</si>
  <si>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</si>
  <si>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</si>
  <si>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</si>
  <si>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</si>
  <si>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</si>
  <si>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</si>
  <si>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</si>
  <si>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</si>
  <si>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</si>
  <si>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</si>
  <si>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</si>
  <si>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</si>
  <si>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</si>
  <si>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</si>
  <si>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</si>
  <si>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</si>
  <si>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</si>
  <si>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</si>
  <si>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</si>
  <si>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</si>
  <si>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</si>
  <si>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</si>
  <si>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</si>
  <si>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</si>
  <si>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</si>
  <si>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</si>
  <si>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</si>
  <si>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</si>
  <si>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</si>
  <si>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</si>
  <si>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</si>
  <si>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</si>
  <si>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</si>
  <si>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</si>
  <si>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</si>
  <si>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</si>
  <si>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</si>
  <si>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</si>
  <si>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</si>
  <si>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</si>
  <si>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</si>
  <si>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</si>
  <si>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</si>
  <si>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</si>
  <si>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</si>
  <si>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</si>
  <si>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</si>
  <si>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</si>
  <si>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</si>
  <si>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</si>
  <si>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</si>
  <si>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</si>
  <si>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</si>
  <si>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</si>
  <si>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</si>
  <si>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</si>
  <si>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</si>
  <si>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</si>
  <si>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</si>
  <si>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</si>
  <si>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</si>
  <si>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</si>
  <si>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</si>
  <si>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</si>
  <si>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</si>
  <si>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</si>
  <si>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</si>
  <si>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</si>
  <si>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</si>
  <si>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</si>
  <si>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</si>
  <si>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</si>
  <si>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</si>
  <si>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</si>
  <si>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</si>
  <si>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</si>
  <si>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</si>
  <si>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</si>
  <si>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</si>
  <si>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</si>
  <si>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</si>
  <si>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</si>
  <si>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</si>
  <si>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</si>
  <si>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</si>
  <si>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</si>
  <si>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</si>
  <si>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</si>
  <si>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</si>
  <si>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</si>
  <si>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</si>
  <si>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</si>
  <si>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</si>
  <si>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</si>
  <si>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</si>
  <si>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</si>
  <si>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</si>
  <si>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</si>
  <si>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</si>
  <si>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</si>
  <si>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</si>
  <si>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</si>
  <si>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</si>
  <si>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</si>
  <si>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</si>
  <si>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</si>
  <si>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</si>
  <si>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</si>
  <si>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</si>
  <si>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</si>
  <si>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</si>
  <si>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EA Play Season Pass</t>
  </si>
  <si>
    <t>EA Play Season Pass
Price</t>
  </si>
  <si>
    <t>-</t>
  </si>
  <si>
    <t>Subscription Price</t>
  </si>
  <si>
    <t xml:space="preserve"> XBOX GAME PASS SUBSCRIPTIONS SALES</t>
  </si>
  <si>
    <t>(Tudo)</t>
  </si>
  <si>
    <t>Pergunta de Negócio 1 - Qual a quantidade total de assinaturas na base.</t>
  </si>
  <si>
    <t>Pergunta de Negócio 2 - Qual valor total faturado considerando planos, add-ons e descontos.</t>
  </si>
  <si>
    <t>Pergunta de Negócio 3 - Qual Receita média gerada por assinatura.</t>
  </si>
  <si>
    <t>Pergunta de Negócio 4 - Qual Percentual de assinaturas com auto-renovação ativada.</t>
  </si>
  <si>
    <t>Pergunta de Negócio 6 - Qual Receita vinda apenas do plano principal.</t>
  </si>
  <si>
    <t>Pergunta de Negócio 7- Qual Receita adicional vinda de EA Play e Minecraft.</t>
  </si>
  <si>
    <t>Pergunta de Negócio 8 - Quanto os add-ons representam da receita total.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</si>
  <si>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</si>
  <si>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</si>
  <si>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</si>
  <si>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</si>
  <si>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</si>
  <si>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</si>
  <si>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</si>
  <si>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</si>
  <si>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</si>
  <si>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</si>
  <si>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</si>
  <si>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</si>
  <si>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Meses (Start Date)</t>
  </si>
  <si>
    <t>Subscriptions</t>
  </si>
  <si>
    <t>Revenue</t>
  </si>
  <si>
    <t>Soma de Minecraft Season Pass Price</t>
  </si>
  <si>
    <t>Soma de EA Play Season Pass
Price</t>
  </si>
  <si>
    <t>Soma de Subscription Price</t>
  </si>
  <si>
    <t>Soma de Total Value</t>
  </si>
  <si>
    <t>#107C10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</si>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</sst>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0.0%"/>
    <numFmt numFmtId="167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07C1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4" fillId="0" borderId="2" xfId="1" applyFont="1" applyBorder="1"/>
    <xf numFmtId="0" fontId="0" fillId="0" borderId="2" xfId="0" applyBorder="1"/>
    <xf numFmtId="0" fontId="6" fillId="7" borderId="0" xfId="0" applyFont="1" applyFill="1"/>
    <xf numFmtId="164" fontId="0" fillId="0" borderId="0" xfId="0" applyNumberFormat="1"/>
    <xf numFmtId="9" fontId="0" fillId="0" borderId="0" xfId="3" applyFont="1" applyAlignment="1">
      <alignment horizontal="center"/>
    </xf>
    <xf numFmtId="0" fontId="5" fillId="0" borderId="2" xfId="1" applyFont="1" applyBorder="1" applyAlignment="1"/>
    <xf numFmtId="0" fontId="0" fillId="0" borderId="0" xfId="0" applyNumberFormat="1"/>
    <xf numFmtId="165" fontId="0" fillId="0" borderId="0" xfId="0" applyNumberFormat="1"/>
    <xf numFmtId="9" fontId="0" fillId="0" borderId="0" xfId="0" applyNumberFormat="1"/>
    <xf numFmtId="167" fontId="0" fillId="0" borderId="0" xfId="0" applyNumberFormat="1"/>
    <xf numFmtId="9" fontId="3" fillId="0" borderId="0" xfId="3" applyFont="1" applyAlignment="1">
      <alignment horizontal="center"/>
    </xf>
    <xf numFmtId="0" fontId="0" fillId="8" borderId="0" xfId="0" applyFill="1"/>
    <xf numFmtId="43" fontId="3" fillId="0" borderId="0" xfId="4" applyFont="1" applyAlignment="1">
      <alignment horizontal="center" vertical="center" wrapText="1"/>
    </xf>
    <xf numFmtId="43" fontId="0" fillId="0" borderId="0" xfId="4" applyFont="1" applyAlignment="1">
      <alignment horizontal="center" vertical="center" wrapText="1"/>
    </xf>
    <xf numFmtId="43" fontId="0" fillId="0" borderId="0" xfId="4" applyFont="1"/>
  </cellXfs>
  <cellStyles count="5">
    <cellStyle name="Moeda" xfId="2" builtinId="4"/>
    <cellStyle name="Normal" xfId="0" builtinId="0"/>
    <cellStyle name="Porcentagem" xfId="3" builtinId="5"/>
    <cellStyle name="Título 1" xfId="1" builtinId="16"/>
    <cellStyle name="Vírgula" xfId="4" builtinId="3"/>
  </cellStyles>
  <dxfs count="413"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0" formatCode="General"/>
    </dxf>
    <dxf>
      <numFmt numFmtId="167" formatCode="&quot;R$&quot;\ #,##0.00"/>
    </dxf>
    <dxf>
      <numFmt numFmtId="13" formatCode="0%"/>
    </dxf>
    <dxf>
      <numFmt numFmtId="165" formatCode="0.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412"/>
      <tableStyleElement type="headerRow" dxfId="411"/>
    </tableStyle>
  </tableStyles>
  <colors>
    <mruColors>
      <color rgb="FF22C55E"/>
      <color rgb="FF107C10"/>
      <color rgb="FF5BF6A8"/>
      <color rgb="FF2AE6B1"/>
      <color rgb="FF000000"/>
      <color rgb="FFE8E6E9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Xbox.xlsx]C̳álculos!histórico mensal</c:name>
    <c:fmtId val="17"/>
  </c:pivotSource>
  <c:chart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6393925863001702E-2"/>
              <c:y val="-5.19110334758090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4453628981024675E-2"/>
              <c:y val="-6.1805898586202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904676392391692E-17"/>
              <c:y val="7.1574156170578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4523381961958462E-18"/>
              <c:y val="6.6626723615381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4523381961958462E-18"/>
              <c:y val="6.6626723615381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904676392391692E-17"/>
              <c:y val="7.1574156170578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4453628981024675E-2"/>
              <c:y val="-6.1805898586202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6393925863001702E-2"/>
              <c:y val="-5.19110334758090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4523381961958462E-18"/>
              <c:y val="6.66267236153811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904676392391692E-17"/>
              <c:y val="7.1574156170578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107C1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107C1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107C1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4453628981024675E-2"/>
              <c:y val="-6.1805898586202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107C1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107C1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6393925863001702E-2"/>
              <c:y val="-5.19110334758090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107C1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Subscriptions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F88-452F-A95B-98C2D781518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88-452F-A95B-98C2D7815183}"/>
              </c:ext>
            </c:extLst>
          </c:dPt>
          <c:dLbls>
            <c:dLbl>
              <c:idx val="0"/>
              <c:layout>
                <c:manualLayout>
                  <c:x val="-8.4523381961958462E-18"/>
                  <c:y val="6.66267236153811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88-452F-A95B-98C2D7815183}"/>
                </c:ext>
              </c:extLst>
            </c:dLbl>
            <c:dLbl>
              <c:idx val="1"/>
              <c:layout>
                <c:manualLayout>
                  <c:x val="-1.6904676392391692E-17"/>
                  <c:y val="7.15741561705781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88-452F-A95B-98C2D7815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C̳álculos!$C$12:$C$24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8-452F-A95B-98C2D7815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53440368"/>
        <c:axId val="1653443248"/>
      </c:barChart>
      <c:lineChart>
        <c:grouping val="standard"/>
        <c:varyColors val="0"/>
        <c:ser>
          <c:idx val="1"/>
          <c:order val="1"/>
          <c:tx>
            <c:strRef>
              <c:f>C̳álculos!$D$11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107C1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107C1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8-452F-A95B-98C2D781518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107C1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F88-452F-A95B-98C2D7815183}"/>
              </c:ext>
            </c:extLst>
          </c:dPt>
          <c:dLbls>
            <c:dLbl>
              <c:idx val="1"/>
              <c:layout>
                <c:manualLayout>
                  <c:x val="-5.4453628981024675E-2"/>
                  <c:y val="-6.18058985862029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88-452F-A95B-98C2D7815183}"/>
                </c:ext>
              </c:extLst>
            </c:dLbl>
            <c:dLbl>
              <c:idx val="11"/>
              <c:layout>
                <c:manualLayout>
                  <c:x val="-1.6393925863001702E-2"/>
                  <c:y val="-5.1911033475809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88-452F-A95B-98C2D7815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107C1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C̳álculos!$B$12:$B$24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C̳álculos!$D$12:$D$24</c:f>
              <c:numCache>
                <c:formatCode>_-"R$"\ * #,##0_-;\-"R$"\ * #,##0_-;_-"R$"\ * "-"??_-;_-@_-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88-452F-A95B-98C2D7815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069424"/>
        <c:axId val="1614066544"/>
      </c:lineChart>
      <c:catAx>
        <c:axId val="161406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066544"/>
        <c:crosses val="autoZero"/>
        <c:auto val="1"/>
        <c:lblAlgn val="ctr"/>
        <c:lblOffset val="100"/>
        <c:noMultiLvlLbl val="0"/>
      </c:catAx>
      <c:valAx>
        <c:axId val="1614066544"/>
        <c:scaling>
          <c:orientation val="minMax"/>
          <c:max val="850"/>
          <c:min val="0"/>
        </c:scaling>
        <c:delete val="0"/>
        <c:axPos val="l"/>
        <c:numFmt formatCode="_(&quot;R$&quot;* #,##0_);_(&quot;R$&quot;* \(#,##0\);_(&quot;R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069424"/>
        <c:crosses val="autoZero"/>
        <c:crossBetween val="between"/>
      </c:valAx>
      <c:valAx>
        <c:axId val="1653443248"/>
        <c:scaling>
          <c:orientation val="minMax"/>
          <c:max val="4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3440368"/>
        <c:crosses val="max"/>
        <c:crossBetween val="between"/>
      </c:valAx>
      <c:catAx>
        <c:axId val="165344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344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84474664139803E-2"/>
          <c:y val="8.9810017271157172E-2"/>
          <c:w val="0.76301494974333273"/>
          <c:h val="0.8480138169257340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9E-4231-9AEA-98AD5BF329BE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9E-4231-9AEA-98AD5BF329BE}"/>
              </c:ext>
            </c:extLst>
          </c:dPt>
          <c:val>
            <c:numRef>
              <c:f>C̳álculos!$E$32:$E$33</c:f>
              <c:numCache>
                <c:formatCode>0%</c:formatCode>
                <c:ptCount val="2"/>
                <c:pt idx="0">
                  <c:v>0.49830508474576274</c:v>
                </c:pt>
                <c:pt idx="1">
                  <c:v>0.50169491525423726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9E-4231-9AEA-98AD5BF32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Xbox.xlsx]C̳álculos!Tabela dinâmica4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07C10"/>
          </a:solidFill>
          <a:ln>
            <a:noFill/>
          </a:ln>
          <a:effectLst/>
        </c:spPr>
      </c:pivotFmt>
      <c:pivotFmt>
        <c:idx val="11"/>
        <c:spPr>
          <a:solidFill>
            <a:srgbClr val="22C55E"/>
          </a:solidFill>
          <a:ln>
            <a:noFill/>
          </a:ln>
          <a:effectLst/>
        </c:spPr>
      </c:pivotFmt>
      <c:pivotFmt>
        <c:idx val="12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9-40D6-970A-EE1CB27F9546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99-40D6-970A-EE1CB27F9546}"/>
              </c:ext>
            </c:extLst>
          </c:dPt>
          <c:dPt>
            <c:idx val="2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99-40D6-970A-EE1CB27F95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C̳álculos!$C$44:$C$47</c:f>
              <c:numCache>
                <c:formatCode>0.0%</c:formatCode>
                <c:ptCount val="3"/>
                <c:pt idx="0">
                  <c:v>0.34237288135593219</c:v>
                </c:pt>
                <c:pt idx="1">
                  <c:v>0.3254237288135593</c:v>
                </c:pt>
                <c:pt idx="2">
                  <c:v>0.33220338983050846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99-40D6-970A-EE1CB27F9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869615"/>
        <c:axId val="1749881135"/>
      </c:barChart>
      <c:catAx>
        <c:axId val="174986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9881135"/>
        <c:crosses val="autoZero"/>
        <c:auto val="1"/>
        <c:lblAlgn val="ctr"/>
        <c:lblOffset val="100"/>
        <c:noMultiLvlLbl val="0"/>
      </c:catAx>
      <c:valAx>
        <c:axId val="1749881135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74986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1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304800</xdr:colOff>
      <xdr:row>8</xdr:row>
      <xdr:rowOff>152400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B512416-0D5F-480C-0E60-AA8907D50554}"/>
            </a:ext>
          </a:extLst>
        </xdr:cNvPr>
        <xdr:cNvSpPr/>
      </xdr:nvSpPr>
      <xdr:spPr>
        <a:xfrm>
          <a:off x="5724525" y="838200"/>
          <a:ext cx="914400" cy="914400"/>
        </a:xfrm>
        <a:prstGeom prst="rect">
          <a:avLst/>
        </a:prstGeom>
        <a:solidFill>
          <a:srgbClr val="107C1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12</xdr:col>
      <xdr:colOff>0</xdr:colOff>
      <xdr:row>26</xdr:row>
      <xdr:rowOff>0</xdr:rowOff>
    </xdr:from>
    <xdr:to>
      <xdr:col>76</xdr:col>
      <xdr:colOff>0</xdr:colOff>
      <xdr:row>230</xdr:row>
      <xdr:rowOff>152400</xdr:rowOff>
    </xdr:to>
    <xdr:pic>
      <xdr:nvPicPr>
        <xdr:cNvPr id="6" name="Imagem 5" descr="minecraft-logo-0 – PNG e Vetor - Download de Logo">
          <a:extLst>
            <a:ext uri="{FF2B5EF4-FFF2-40B4-BE49-F238E27FC236}">
              <a16:creationId xmlns:a16="http://schemas.microsoft.com/office/drawing/2014/main" id="{9C35E42A-1925-353C-9D6F-3D398BBBC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5105400"/>
          <a:ext cx="39014400" cy="390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11</xdr:col>
      <xdr:colOff>342900</xdr:colOff>
      <xdr:row>29</xdr:row>
      <xdr:rowOff>21117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00B59F8-4FDF-C527-03F3-E164A457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4914900"/>
          <a:ext cx="3019425" cy="7831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547566</xdr:colOff>
      <xdr:row>0</xdr:row>
      <xdr:rowOff>104775</xdr:rowOff>
    </xdr:from>
    <xdr:to>
      <xdr:col>0</xdr:col>
      <xdr:colOff>1222721</xdr:colOff>
      <xdr:row>4</xdr:row>
      <xdr:rowOff>3332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547566" y="104775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58852</xdr:rowOff>
    </xdr:from>
    <xdr:to>
      <xdr:col>0</xdr:col>
      <xdr:colOff>1782536</xdr:colOff>
      <xdr:row>12</xdr:row>
      <xdr:rowOff>168521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47987"/>
              <a:ext cx="1782536" cy="12673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219075</xdr:colOff>
      <xdr:row>18</xdr:row>
      <xdr:rowOff>54769</xdr:rowOff>
    </xdr:from>
    <xdr:to>
      <xdr:col>19</xdr:col>
      <xdr:colOff>123825</xdr:colOff>
      <xdr:row>35</xdr:row>
      <xdr:rowOff>114300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65460" y="3344557"/>
          <a:ext cx="10316307" cy="3298031"/>
          <a:chOff x="2083594" y="3178969"/>
          <a:chExt cx="10298906" cy="3298031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F010324-0D13-48F3-9FA9-6FF56F20097A}"/>
              </a:ext>
            </a:extLst>
          </xdr:cNvPr>
          <xdr:cNvSpPr/>
        </xdr:nvSpPr>
        <xdr:spPr>
          <a:xfrm>
            <a:off x="2095502" y="3178970"/>
            <a:ext cx="10275092" cy="3298030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360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 | MONTHLY SALES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204906</xdr:colOff>
      <xdr:row>2</xdr:row>
      <xdr:rowOff>228280</xdr:rowOff>
    </xdr:from>
    <xdr:to>
      <xdr:col>9</xdr:col>
      <xdr:colOff>295275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19/01/2026 17:00:00</a:t>
          </a:r>
        </a:p>
      </xdr:txBody>
    </xdr:sp>
    <xdr:clientData/>
  </xdr:twoCellAnchor>
  <xdr:twoCellAnchor>
    <xdr:from>
      <xdr:col>2</xdr:col>
      <xdr:colOff>523875</xdr:colOff>
      <xdr:row>20</xdr:row>
      <xdr:rowOff>188119</xdr:rowOff>
    </xdr:from>
    <xdr:to>
      <xdr:col>18</xdr:col>
      <xdr:colOff>523875</xdr:colOff>
      <xdr:row>34</xdr:row>
      <xdr:rowOff>88107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268B095B-FC42-4666-B563-184128B0A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213779</xdr:colOff>
      <xdr:row>6</xdr:row>
      <xdr:rowOff>38100</xdr:rowOff>
    </xdr:from>
    <xdr:to>
      <xdr:col>8</xdr:col>
      <xdr:colOff>590550</xdr:colOff>
      <xdr:row>17</xdr:row>
      <xdr:rowOff>38100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1FED3E39-F484-66CF-D761-86760A90B6FC}"/>
            </a:ext>
          </a:extLst>
        </xdr:cNvPr>
        <xdr:cNvGrpSpPr/>
      </xdr:nvGrpSpPr>
      <xdr:grpSpPr>
        <a:xfrm>
          <a:off x="2060164" y="1159119"/>
          <a:ext cx="4267367" cy="1978269"/>
          <a:chOff x="2061629" y="1171575"/>
          <a:chExt cx="4272496" cy="1971675"/>
        </a:xfrm>
      </xdr:grpSpPr>
      <xdr:grpSp>
        <xdr:nvGrpSpPr>
          <xdr:cNvPr id="2" name="Agrupar 1">
            <a:extLst>
              <a:ext uri="{FF2B5EF4-FFF2-40B4-BE49-F238E27FC236}">
                <a16:creationId xmlns:a16="http://schemas.microsoft.com/office/drawing/2014/main" id="{0C844FFE-0355-4213-BAF7-86DE647635A6}"/>
              </a:ext>
            </a:extLst>
          </xdr:cNvPr>
          <xdr:cNvGrpSpPr/>
        </xdr:nvGrpSpPr>
        <xdr:grpSpPr>
          <a:xfrm>
            <a:off x="2061629" y="1171575"/>
            <a:ext cx="4272496" cy="1971675"/>
            <a:chOff x="2083594" y="3178967"/>
            <a:chExt cx="10298906" cy="3923520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5A97006F-9E9F-2D3E-84E2-167ED15AE59C}"/>
                </a:ext>
              </a:extLst>
            </xdr:cNvPr>
            <xdr:cNvSpPr/>
          </xdr:nvSpPr>
          <xdr:spPr>
            <a:xfrm>
              <a:off x="2095500" y="3178971"/>
              <a:ext cx="10275094" cy="3923516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5" name="Retângulo: Cantos Superiores Arredondados 4">
              <a:extLst>
                <a:ext uri="{FF2B5EF4-FFF2-40B4-BE49-F238E27FC236}">
                  <a16:creationId xmlns:a16="http://schemas.microsoft.com/office/drawing/2014/main" id="{A6557EAC-16F2-92F9-D7F5-D4A8BB788C0B}"/>
                </a:ext>
              </a:extLst>
            </xdr:cNvPr>
            <xdr:cNvSpPr/>
          </xdr:nvSpPr>
          <xdr:spPr>
            <a:xfrm>
              <a:off x="2083594" y="3178967"/>
              <a:ext cx="10298906" cy="71637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 PASS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50" name="Agrupar 49">
            <a:extLst>
              <a:ext uri="{FF2B5EF4-FFF2-40B4-BE49-F238E27FC236}">
                <a16:creationId xmlns:a16="http://schemas.microsoft.com/office/drawing/2014/main" id="{06C58E06-09D4-8AF4-E22B-689F3E72D876}"/>
              </a:ext>
            </a:extLst>
          </xdr:cNvPr>
          <xdr:cNvGrpSpPr/>
        </xdr:nvGrpSpPr>
        <xdr:grpSpPr>
          <a:xfrm>
            <a:off x="2311927" y="1419226"/>
            <a:ext cx="3771900" cy="1613813"/>
            <a:chOff x="2181225" y="1419226"/>
            <a:chExt cx="3771900" cy="1613813"/>
          </a:xfrm>
        </xdr:grpSpPr>
        <xdr:sp macro="" textlink="C̳álculos!G12">
          <xdr:nvSpPr>
            <xdr:cNvPr id="40" name="Retângulo: Cantos Arredondados 39">
              <a:extLst>
                <a:ext uri="{FF2B5EF4-FFF2-40B4-BE49-F238E27FC236}">
                  <a16:creationId xmlns:a16="http://schemas.microsoft.com/office/drawing/2014/main" id="{0415A1C7-D5B3-43AC-AFED-AD11AD47EA33}"/>
                </a:ext>
              </a:extLst>
            </xdr:cNvPr>
            <xdr:cNvSpPr/>
          </xdr:nvSpPr>
          <xdr:spPr>
            <a:xfrm>
              <a:off x="2181225" y="2085976"/>
              <a:ext cx="2284932" cy="947063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76D85E65-7CF7-402D-9C00-4AE327924B68}" type="TxLink">
                <a:rPr lang="en-US" sz="3200" b="0" i="0" u="none" strike="noStrike" kern="1200">
                  <a:solidFill>
                    <a:srgbClr val="107C10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R$ 7.633,00 </a:t>
              </a:fld>
              <a:endParaRPr lang="pt-BR" sz="3200" b="0" i="0" u="none" strike="noStrike" kern="1200">
                <a:solidFill>
                  <a:srgbClr val="107C10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̳álculos!F12">
          <xdr:nvSpPr>
            <xdr:cNvPr id="41" name="Retângulo: Cantos Arredondados 40">
              <a:extLst>
                <a:ext uri="{FF2B5EF4-FFF2-40B4-BE49-F238E27FC236}">
                  <a16:creationId xmlns:a16="http://schemas.microsoft.com/office/drawing/2014/main" id="{D1610397-7767-4930-8F64-E58D8B4A6D26}"/>
                </a:ext>
              </a:extLst>
            </xdr:cNvPr>
            <xdr:cNvSpPr/>
          </xdr:nvSpPr>
          <xdr:spPr>
            <a:xfrm>
              <a:off x="2786063" y="1419226"/>
              <a:ext cx="1075257" cy="947063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5360FD90-9A13-46F0-AE7C-7601EDEC9988}" type="TxLink">
                <a:rPr lang="en-US" sz="3200" b="0" i="0" u="none" strike="noStrike" kern="1200">
                  <a:solidFill>
                    <a:srgbClr val="107C10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295</a:t>
              </a:fld>
              <a:endParaRPr lang="pt-BR" sz="3200" b="0" i="0" u="none" strike="noStrike" kern="1200">
                <a:solidFill>
                  <a:srgbClr val="107C10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88E789A8-39B2-0A21-671D-D5693B350F75}"/>
                </a:ext>
              </a:extLst>
            </xdr:cNvPr>
            <xdr:cNvSpPr txBox="1"/>
          </xdr:nvSpPr>
          <xdr:spPr>
            <a:xfrm>
              <a:off x="2844265" y="2019300"/>
              <a:ext cx="958852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100">
                  <a:solidFill>
                    <a:srgbClr val="000000"/>
                  </a:solidFill>
                </a:rPr>
                <a:t>Subscriptions</a:t>
              </a:r>
            </a:p>
          </xdr:txBody>
        </xdr:sp>
        <xdr:sp macro="" textlink="">
          <xdr:nvSpPr>
            <xdr:cNvPr id="43" name="CaixaDeTexto 42">
              <a:extLst>
                <a:ext uri="{FF2B5EF4-FFF2-40B4-BE49-F238E27FC236}">
                  <a16:creationId xmlns:a16="http://schemas.microsoft.com/office/drawing/2014/main" id="{5202AAE4-442E-48B3-A031-2E7618FB3F92}"/>
                </a:ext>
              </a:extLst>
            </xdr:cNvPr>
            <xdr:cNvSpPr txBox="1"/>
          </xdr:nvSpPr>
          <xdr:spPr>
            <a:xfrm>
              <a:off x="2988535" y="2676525"/>
              <a:ext cx="741477" cy="2636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100">
                  <a:solidFill>
                    <a:srgbClr val="000000"/>
                  </a:solidFill>
                </a:rPr>
                <a:t>Revenue*</a:t>
              </a:r>
            </a:p>
          </xdr:txBody>
        </xdr:sp>
        <xdr:cxnSp macro="">
          <xdr:nvCxnSpPr>
            <xdr:cNvPr id="46" name="Conector reto 45">
              <a:extLst>
                <a:ext uri="{FF2B5EF4-FFF2-40B4-BE49-F238E27FC236}">
                  <a16:creationId xmlns:a16="http://schemas.microsoft.com/office/drawing/2014/main" id="{9429941B-FCFA-9B79-4903-73A002B02DBF}"/>
                </a:ext>
              </a:extLst>
            </xdr:cNvPr>
            <xdr:cNvCxnSpPr/>
          </xdr:nvCxnSpPr>
          <xdr:spPr>
            <a:xfrm>
              <a:off x="4495800" y="1724025"/>
              <a:ext cx="0" cy="1123950"/>
            </a:xfrm>
            <a:prstGeom prst="line">
              <a:avLst/>
            </a:prstGeom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49" name="Agrupar 48">
              <a:extLst>
                <a:ext uri="{FF2B5EF4-FFF2-40B4-BE49-F238E27FC236}">
                  <a16:creationId xmlns:a16="http://schemas.microsoft.com/office/drawing/2014/main" id="{D68FD400-DE5F-5266-0056-07FD66D025CF}"/>
                </a:ext>
              </a:extLst>
            </xdr:cNvPr>
            <xdr:cNvGrpSpPr/>
          </xdr:nvGrpSpPr>
          <xdr:grpSpPr>
            <a:xfrm>
              <a:off x="4467225" y="1953695"/>
              <a:ext cx="1485900" cy="664610"/>
              <a:chOff x="4467225" y="1800225"/>
              <a:chExt cx="1485900" cy="664610"/>
            </a:xfrm>
          </xdr:grpSpPr>
          <xdr:sp macro="" textlink="C̳álculos!H12">
            <xdr:nvSpPr>
              <xdr:cNvPr id="47" name="Retângulo: Cantos Arredondados 46">
                <a:extLst>
                  <a:ext uri="{FF2B5EF4-FFF2-40B4-BE49-F238E27FC236}">
                    <a16:creationId xmlns:a16="http://schemas.microsoft.com/office/drawing/2014/main" id="{5372954C-CDC4-4E01-BC0E-2C96B3CE9DAD}"/>
                  </a:ext>
                </a:extLst>
              </xdr:cNvPr>
              <xdr:cNvSpPr/>
            </xdr:nvSpPr>
            <xdr:spPr>
              <a:xfrm>
                <a:off x="4467225" y="1800225"/>
                <a:ext cx="1485900" cy="594639"/>
              </a:xfrm>
              <a:prstGeom prst="roundRect">
                <a:avLst>
                  <a:gd name="adj" fmla="val 4069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827FC745-32C7-46AF-94A1-3A8C236267F8}" type="TxLink">
                  <a:rPr lang="en-US" sz="2400" b="0" i="0" u="none" strike="noStrike" kern="1200">
                    <a:solidFill>
                      <a:srgbClr val="107C1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R$ 25,87 </a:t>
                </a:fld>
                <a:endParaRPr lang="pt-BR" sz="2400" b="0" i="0" u="none" strike="noStrike" kern="1200">
                  <a:solidFill>
                    <a:srgbClr val="107C1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48" name="CaixaDeTexto 47">
                <a:extLst>
                  <a:ext uri="{FF2B5EF4-FFF2-40B4-BE49-F238E27FC236}">
                    <a16:creationId xmlns:a16="http://schemas.microsoft.com/office/drawing/2014/main" id="{6AA64F42-A779-4A14-A5B5-9E1B50C13D27}"/>
                  </a:ext>
                </a:extLst>
              </xdr:cNvPr>
              <xdr:cNvSpPr txBox="1"/>
            </xdr:nvSpPr>
            <xdr:spPr>
              <a:xfrm>
                <a:off x="4724177" y="2200275"/>
                <a:ext cx="971997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pt-BR" sz="1100">
                    <a:solidFill>
                      <a:srgbClr val="000000"/>
                    </a:solidFill>
                  </a:rPr>
                  <a:t>Average ticket</a:t>
                </a:r>
              </a:p>
            </xdr:txBody>
          </xdr:sp>
        </xdr:grpSp>
      </xdr:grpSp>
    </xdr:grpSp>
    <xdr:clientData/>
  </xdr:twoCellAnchor>
  <xdr:twoCellAnchor>
    <xdr:from>
      <xdr:col>13</xdr:col>
      <xdr:colOff>297366</xdr:colOff>
      <xdr:row>6</xdr:row>
      <xdr:rowOff>38100</xdr:rowOff>
    </xdr:from>
    <xdr:to>
      <xdr:col>19</xdr:col>
      <xdr:colOff>123825</xdr:colOff>
      <xdr:row>17</xdr:row>
      <xdr:rowOff>38100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644AB688-63E7-4A4F-B97F-485D22EF6CAE}"/>
            </a:ext>
          </a:extLst>
        </xdr:cNvPr>
        <xdr:cNvGrpSpPr/>
      </xdr:nvGrpSpPr>
      <xdr:grpSpPr>
        <a:xfrm>
          <a:off x="8906501" y="1159119"/>
          <a:ext cx="3475266" cy="1978269"/>
          <a:chOff x="2083594" y="3178967"/>
          <a:chExt cx="10298906" cy="3923520"/>
        </a:xfrm>
      </xdr:grpSpPr>
      <xdr:sp macro="" textlink="">
        <xdr:nvSpPr>
          <xdr:cNvPr id="56" name="Retângulo: Cantos Arredondados 55">
            <a:extLst>
              <a:ext uri="{FF2B5EF4-FFF2-40B4-BE49-F238E27FC236}">
                <a16:creationId xmlns:a16="http://schemas.microsoft.com/office/drawing/2014/main" id="{B7314AD3-A2AA-5EBE-BF8C-992E846A7FEA}"/>
              </a:ext>
            </a:extLst>
          </xdr:cNvPr>
          <xdr:cNvSpPr/>
        </xdr:nvSpPr>
        <xdr:spPr>
          <a:xfrm>
            <a:off x="2095500" y="3178971"/>
            <a:ext cx="10275094" cy="3923516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57" name="Retângulo: Cantos Superiores Arredondados 56">
            <a:extLst>
              <a:ext uri="{FF2B5EF4-FFF2-40B4-BE49-F238E27FC236}">
                <a16:creationId xmlns:a16="http://schemas.microsoft.com/office/drawing/2014/main" id="{E18FAC53-14AB-48C3-248E-B4379EFAA9BA}"/>
              </a:ext>
            </a:extLst>
          </xdr:cNvPr>
          <xdr:cNvSpPr/>
        </xdr:nvSpPr>
        <xdr:spPr>
          <a:xfrm>
            <a:off x="2083594" y="3178967"/>
            <a:ext cx="10298906" cy="71637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PLAN</a:t>
            </a:r>
          </a:p>
        </xdr:txBody>
      </xdr:sp>
    </xdr:grpSp>
    <xdr:clientData/>
  </xdr:twoCellAnchor>
  <xdr:twoCellAnchor>
    <xdr:from>
      <xdr:col>8</xdr:col>
      <xdr:colOff>600017</xdr:colOff>
      <xdr:row>6</xdr:row>
      <xdr:rowOff>38100</xdr:rowOff>
    </xdr:from>
    <xdr:to>
      <xdr:col>13</xdr:col>
      <xdr:colOff>195146</xdr:colOff>
      <xdr:row>17</xdr:row>
      <xdr:rowOff>38100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D11ABB18-7678-F7DF-03BC-882AB70DEC39}"/>
            </a:ext>
          </a:extLst>
        </xdr:cNvPr>
        <xdr:cNvGrpSpPr/>
      </xdr:nvGrpSpPr>
      <xdr:grpSpPr>
        <a:xfrm>
          <a:off x="6336998" y="1159119"/>
          <a:ext cx="2467283" cy="1978269"/>
          <a:chOff x="6528749" y="1167161"/>
          <a:chExt cx="2466568" cy="1974695"/>
        </a:xfrm>
      </xdr:grpSpPr>
      <xdr:grpSp>
        <xdr:nvGrpSpPr>
          <xdr:cNvPr id="51" name="Agrupar 50">
            <a:extLst>
              <a:ext uri="{FF2B5EF4-FFF2-40B4-BE49-F238E27FC236}">
                <a16:creationId xmlns:a16="http://schemas.microsoft.com/office/drawing/2014/main" id="{715255F3-6E06-4E75-98A2-C7696BB48565}"/>
              </a:ext>
            </a:extLst>
          </xdr:cNvPr>
          <xdr:cNvGrpSpPr/>
        </xdr:nvGrpSpPr>
        <xdr:grpSpPr>
          <a:xfrm>
            <a:off x="6627890" y="1167161"/>
            <a:ext cx="2367427" cy="1974695"/>
            <a:chOff x="2083594" y="3178967"/>
            <a:chExt cx="8935802" cy="3923520"/>
          </a:xfrm>
        </xdr:grpSpPr>
        <xdr:sp macro="" textlink="">
          <xdr:nvSpPr>
            <xdr:cNvPr id="52" name="Retângulo: Cantos Arredondados 51">
              <a:extLst>
                <a:ext uri="{FF2B5EF4-FFF2-40B4-BE49-F238E27FC236}">
                  <a16:creationId xmlns:a16="http://schemas.microsoft.com/office/drawing/2014/main" id="{91AAE397-FE31-3CC6-E41F-9FC46C5AFC6E}"/>
                </a:ext>
              </a:extLst>
            </xdr:cNvPr>
            <xdr:cNvSpPr/>
          </xdr:nvSpPr>
          <xdr:spPr>
            <a:xfrm>
              <a:off x="2095499" y="3178971"/>
              <a:ext cx="8923897" cy="3923516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53" name="Retângulo: Cantos Superiores Arredondados 52">
              <a:extLst>
                <a:ext uri="{FF2B5EF4-FFF2-40B4-BE49-F238E27FC236}">
                  <a16:creationId xmlns:a16="http://schemas.microsoft.com/office/drawing/2014/main" id="{1104F99C-3FA5-2B9A-DDFA-3B3C8C022460}"/>
                </a:ext>
              </a:extLst>
            </xdr:cNvPr>
            <xdr:cNvSpPr/>
          </xdr:nvSpPr>
          <xdr:spPr>
            <a:xfrm>
              <a:off x="2083594" y="3178967"/>
              <a:ext cx="8927396" cy="71637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AUTO RENEWAL</a:t>
              </a:r>
            </a:p>
          </xdr:txBody>
        </xdr:sp>
      </xdr:grpSp>
      <xdr:graphicFrame macro="">
        <xdr:nvGraphicFramePr>
          <xdr:cNvPr id="58" name="Gráfico 57">
            <a:extLst>
              <a:ext uri="{FF2B5EF4-FFF2-40B4-BE49-F238E27FC236}">
                <a16:creationId xmlns:a16="http://schemas.microsoft.com/office/drawing/2014/main" id="{0A124C40-AFC3-4885-ABB7-69E8FB378824}"/>
              </a:ext>
            </a:extLst>
          </xdr:cNvPr>
          <xdr:cNvGraphicFramePr>
            <a:graphicFrameLocks/>
          </xdr:cNvGraphicFramePr>
        </xdr:nvGraphicFramePr>
        <xdr:xfrm>
          <a:off x="6528749" y="1556757"/>
          <a:ext cx="1735059" cy="1428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E1784AD8-0662-065C-251B-722C66D239E7}"/>
              </a:ext>
            </a:extLst>
          </xdr:cNvPr>
          <xdr:cNvSpPr txBox="1"/>
        </xdr:nvSpPr>
        <xdr:spPr>
          <a:xfrm>
            <a:off x="8298598" y="1799552"/>
            <a:ext cx="513421" cy="245976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/>
              <a:t>YES</a:t>
            </a:r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B1600E75-ABF8-4364-AC1D-361842040675}"/>
              </a:ext>
            </a:extLst>
          </xdr:cNvPr>
          <xdr:cNvSpPr txBox="1"/>
        </xdr:nvSpPr>
        <xdr:spPr>
          <a:xfrm>
            <a:off x="8298133" y="2265115"/>
            <a:ext cx="514350" cy="245744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/>
              <a:t>NO</a:t>
            </a:r>
          </a:p>
        </xdr:txBody>
      </xdr:sp>
      <xdr:sp macro="" textlink="C̳álculos!E33">
        <xdr:nvSpPr>
          <xdr:cNvPr id="10" name="CaixaDeTexto 9">
            <a:extLst>
              <a:ext uri="{FF2B5EF4-FFF2-40B4-BE49-F238E27FC236}">
                <a16:creationId xmlns:a16="http://schemas.microsoft.com/office/drawing/2014/main" id="{65E6A8EE-FA65-45B3-920E-83E9F93A69CE}"/>
              </a:ext>
            </a:extLst>
          </xdr:cNvPr>
          <xdr:cNvSpPr txBox="1"/>
        </xdr:nvSpPr>
        <xdr:spPr>
          <a:xfrm>
            <a:off x="8298598" y="1962638"/>
            <a:ext cx="513421" cy="2457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864670B-EDB0-4BD9-B2F5-299F8DFCA116}" type="TxLink">
              <a:rPr lang="en-US" sz="1100" b="1" i="0" u="none" strike="noStrike">
                <a:solidFill>
                  <a:srgbClr val="22C55E"/>
                </a:solidFill>
                <a:latin typeface="Aptos Narrow"/>
              </a:rPr>
              <a:pPr algn="ctr"/>
              <a:t>50%</a:t>
            </a:fld>
            <a:endParaRPr lang="pt-BR" sz="1400" b="1">
              <a:solidFill>
                <a:srgbClr val="22C55E"/>
              </a:solidFill>
            </a:endParaRPr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F05915D6-2818-E02A-457D-F5CD68984434}"/>
              </a:ext>
            </a:extLst>
          </xdr:cNvPr>
          <xdr:cNvSpPr/>
        </xdr:nvSpPr>
        <xdr:spPr>
          <a:xfrm>
            <a:off x="8198004" y="1859815"/>
            <a:ext cx="126000" cy="125451"/>
          </a:xfrm>
          <a:prstGeom prst="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9E023759-4960-46F0-8BEC-958F416101FF}"/>
              </a:ext>
            </a:extLst>
          </xdr:cNvPr>
          <xdr:cNvSpPr/>
        </xdr:nvSpPr>
        <xdr:spPr>
          <a:xfrm>
            <a:off x="8198004" y="2325262"/>
            <a:ext cx="126000" cy="125451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2">
        <xdr:nvSpPr>
          <xdr:cNvPr id="13" name="CaixaDeTexto 12">
            <a:extLst>
              <a:ext uri="{FF2B5EF4-FFF2-40B4-BE49-F238E27FC236}">
                <a16:creationId xmlns:a16="http://schemas.microsoft.com/office/drawing/2014/main" id="{A8B22D14-DF3B-44CD-AA14-2EEAA424DC7F}"/>
              </a:ext>
            </a:extLst>
          </xdr:cNvPr>
          <xdr:cNvSpPr txBox="1"/>
        </xdr:nvSpPr>
        <xdr:spPr>
          <a:xfrm>
            <a:off x="8298598" y="2440282"/>
            <a:ext cx="513421" cy="2457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D62420DF-43B2-430E-AE0D-F2D342957C94}" type="TxLink">
              <a:rPr lang="en-US" sz="1100" b="1" i="0" u="none" strike="noStrike">
                <a:solidFill>
                  <a:schemeClr val="bg1">
                    <a:lumMod val="50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50%</a:t>
            </a:fld>
            <a:endParaRPr lang="pt-BR" sz="1100" b="1" i="0" u="none" strike="noStrike">
              <a:solidFill>
                <a:schemeClr val="bg1">
                  <a:lumMod val="50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549779</xdr:colOff>
      <xdr:row>9</xdr:row>
      <xdr:rowOff>60403</xdr:rowOff>
    </xdr:from>
    <xdr:to>
      <xdr:col>18</xdr:col>
      <xdr:colOff>480083</xdr:colOff>
      <xdr:row>16</xdr:row>
      <xdr:rowOff>183996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B6A2ECDE-2EE1-4487-806C-53388F87A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219075</xdr:colOff>
      <xdr:row>36</xdr:row>
      <xdr:rowOff>95250</xdr:rowOff>
    </xdr:from>
    <xdr:to>
      <xdr:col>19</xdr:col>
      <xdr:colOff>123825</xdr:colOff>
      <xdr:row>49</xdr:row>
      <xdr:rowOff>7327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1434502B-8BAB-4A76-90FB-A9ED8E125EBB}"/>
            </a:ext>
          </a:extLst>
        </xdr:cNvPr>
        <xdr:cNvGrpSpPr/>
      </xdr:nvGrpSpPr>
      <xdr:grpSpPr>
        <a:xfrm>
          <a:off x="2065460" y="6814038"/>
          <a:ext cx="10316307" cy="2388577"/>
          <a:chOff x="2083594" y="3178969"/>
          <a:chExt cx="10298906" cy="2388577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C280FF5E-4B45-09CE-B67D-694B7D3028B0}"/>
              </a:ext>
            </a:extLst>
          </xdr:cNvPr>
          <xdr:cNvSpPr/>
        </xdr:nvSpPr>
        <xdr:spPr>
          <a:xfrm>
            <a:off x="2095502" y="3178970"/>
            <a:ext cx="10275092" cy="2388576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70A76C52-3C7D-DE14-4FFE-B544F94E2755}"/>
              </a:ext>
            </a:extLst>
          </xdr:cNvPr>
          <xdr:cNvSpPr/>
        </xdr:nvSpPr>
        <xdr:spPr>
          <a:xfrm>
            <a:off x="2083594" y="3178969"/>
            <a:ext cx="10298906" cy="360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 | PRINCIPAL AND ADD-ONS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232785</xdr:colOff>
      <xdr:row>39</xdr:row>
      <xdr:rowOff>62782</xdr:rowOff>
    </xdr:from>
    <xdr:to>
      <xdr:col>11</xdr:col>
      <xdr:colOff>237728</xdr:colOff>
      <xdr:row>41</xdr:row>
      <xdr:rowOff>62782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1B2DBCB4-0150-4EF4-B83C-F33CDE0AF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12" b="34673"/>
        <a:stretch>
          <a:fillRect/>
        </a:stretch>
      </xdr:blipFill>
      <xdr:spPr>
        <a:xfrm>
          <a:off x="6577900" y="7353070"/>
          <a:ext cx="1221213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15162</xdr:colOff>
      <xdr:row>39</xdr:row>
      <xdr:rowOff>50744</xdr:rowOff>
    </xdr:from>
    <xdr:to>
      <xdr:col>6</xdr:col>
      <xdr:colOff>121243</xdr:colOff>
      <xdr:row>41</xdr:row>
      <xdr:rowOff>74821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A9B2FD78-47E5-46A1-827D-3C556361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9604" y="7341032"/>
          <a:ext cx="1322351" cy="405077"/>
        </a:xfrm>
        <a:prstGeom prst="rect">
          <a:avLst/>
        </a:prstGeom>
      </xdr:spPr>
    </xdr:pic>
    <xdr:clientData/>
  </xdr:twoCellAnchor>
  <xdr:twoCellAnchor editAs="oneCell">
    <xdr:from>
      <xdr:col>14</xdr:col>
      <xdr:colOff>340463</xdr:colOff>
      <xdr:row>39</xdr:row>
      <xdr:rowOff>95167</xdr:rowOff>
    </xdr:from>
    <xdr:to>
      <xdr:col>17</xdr:col>
      <xdr:colOff>295637</xdr:colOff>
      <xdr:row>41</xdr:row>
      <xdr:rowOff>30398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D262DF3A-7E16-4992-9518-4676C1A008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473" b="11662"/>
        <a:stretch>
          <a:fillRect/>
        </a:stretch>
      </xdr:blipFill>
      <xdr:spPr>
        <a:xfrm>
          <a:off x="9557732" y="7385455"/>
          <a:ext cx="1779578" cy="316231"/>
        </a:xfrm>
        <a:prstGeom prst="rect">
          <a:avLst/>
        </a:prstGeom>
      </xdr:spPr>
    </xdr:pic>
    <xdr:clientData/>
  </xdr:twoCellAnchor>
  <xdr:twoCellAnchor>
    <xdr:from>
      <xdr:col>3</xdr:col>
      <xdr:colOff>6328</xdr:colOff>
      <xdr:row>43</xdr:row>
      <xdr:rowOff>107076</xdr:rowOff>
    </xdr:from>
    <xdr:to>
      <xdr:col>4</xdr:col>
      <xdr:colOff>473514</xdr:colOff>
      <xdr:row>48</xdr:row>
      <xdr:rowOff>102887</xdr:rowOff>
    </xdr:to>
    <xdr:sp macro="" textlink="C̳álculos!F12">
      <xdr:nvSpPr>
        <xdr:cNvPr id="59" name="Retângulo: Cantos Arredondados 58">
          <a:extLst>
            <a:ext uri="{FF2B5EF4-FFF2-40B4-BE49-F238E27FC236}">
              <a16:creationId xmlns:a16="http://schemas.microsoft.com/office/drawing/2014/main" id="{7893A548-E79F-4EFA-BE80-70B8CD5C0A82}"/>
            </a:ext>
          </a:extLst>
        </xdr:cNvPr>
        <xdr:cNvSpPr/>
      </xdr:nvSpPr>
      <xdr:spPr>
        <a:xfrm>
          <a:off x="2702636" y="8159364"/>
          <a:ext cx="1075320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360FD90-9A13-46F0-AE7C-7601EDEC9988}" type="TxLink">
            <a:rPr lang="en-US" sz="2000" b="0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295</a:t>
          </a:fld>
          <a:endParaRPr lang="pt-BR" sz="2000" b="0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64534</xdr:colOff>
      <xdr:row>46</xdr:row>
      <xdr:rowOff>58071</xdr:rowOff>
    </xdr:from>
    <xdr:to>
      <xdr:col>4</xdr:col>
      <xdr:colOff>415308</xdr:colOff>
      <xdr:row>47</xdr:row>
      <xdr:rowOff>132480</xdr:rowOff>
    </xdr:to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4F7D3B15-4465-4076-9940-5DA6B0625F86}"/>
            </a:ext>
          </a:extLst>
        </xdr:cNvPr>
        <xdr:cNvSpPr txBox="1"/>
      </xdr:nvSpPr>
      <xdr:spPr>
        <a:xfrm>
          <a:off x="2760842" y="8681859"/>
          <a:ext cx="958908" cy="26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>
              <a:solidFill>
                <a:srgbClr val="000000"/>
              </a:solidFill>
            </a:rPr>
            <a:t>Subscriptions</a:t>
          </a:r>
        </a:p>
      </xdr:txBody>
    </xdr:sp>
    <xdr:clientData/>
  </xdr:twoCellAnchor>
  <xdr:twoCellAnchor>
    <xdr:from>
      <xdr:col>4</xdr:col>
      <xdr:colOff>480581</xdr:colOff>
      <xdr:row>43</xdr:row>
      <xdr:rowOff>107076</xdr:rowOff>
    </xdr:from>
    <xdr:to>
      <xdr:col>7</xdr:col>
      <xdr:colOff>130076</xdr:colOff>
      <xdr:row>48</xdr:row>
      <xdr:rowOff>102887</xdr:rowOff>
    </xdr:to>
    <xdr:sp macro="" textlink="C̳álculos!G63">
      <xdr:nvSpPr>
        <xdr:cNvPr id="45" name="Retângulo: Cantos Arredondados 44">
          <a:extLst>
            <a:ext uri="{FF2B5EF4-FFF2-40B4-BE49-F238E27FC236}">
              <a16:creationId xmlns:a16="http://schemas.microsoft.com/office/drawing/2014/main" id="{213F02AE-501A-4506-B7CD-CEEBDA02C87B}"/>
            </a:ext>
          </a:extLst>
        </xdr:cNvPr>
        <xdr:cNvSpPr/>
      </xdr:nvSpPr>
      <xdr:spPr>
        <a:xfrm>
          <a:off x="3785023" y="8159364"/>
          <a:ext cx="1473899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CFADE39-1E1B-4692-88EF-9F4442BF43B7}" type="TxLink">
            <a:rPr lang="en-US" sz="2000" b="0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R$ 2.935,00</a:t>
          </a:fld>
          <a:endParaRPr lang="pt-BR" sz="2000" b="0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274220</xdr:colOff>
      <xdr:row>46</xdr:row>
      <xdr:rowOff>58071</xdr:rowOff>
    </xdr:from>
    <xdr:to>
      <xdr:col>6</xdr:col>
      <xdr:colOff>336436</xdr:colOff>
      <xdr:row>47</xdr:row>
      <xdr:rowOff>132480</xdr:rowOff>
    </xdr:to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404D73B9-9656-4781-9404-8EC6ED4C919C}"/>
            </a:ext>
          </a:extLst>
        </xdr:cNvPr>
        <xdr:cNvSpPr txBox="1"/>
      </xdr:nvSpPr>
      <xdr:spPr>
        <a:xfrm>
          <a:off x="4186797" y="8681859"/>
          <a:ext cx="670351" cy="26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>
              <a:solidFill>
                <a:srgbClr val="000000"/>
              </a:solidFill>
            </a:rPr>
            <a:t>Revenue*</a:t>
          </a:r>
        </a:p>
      </xdr:txBody>
    </xdr:sp>
    <xdr:clientData/>
  </xdr:twoCellAnchor>
  <xdr:twoCellAnchor>
    <xdr:from>
      <xdr:col>4</xdr:col>
      <xdr:colOff>139779</xdr:colOff>
      <xdr:row>40</xdr:row>
      <xdr:rowOff>64038</xdr:rowOff>
    </xdr:from>
    <xdr:to>
      <xdr:col>5</xdr:col>
      <xdr:colOff>604760</xdr:colOff>
      <xdr:row>45</xdr:row>
      <xdr:rowOff>59849</xdr:rowOff>
    </xdr:to>
    <xdr:sp macro="" textlink="C̳álculos!H64">
      <xdr:nvSpPr>
        <xdr:cNvPr id="65" name="Retângulo: Cantos Arredondados 64">
          <a:extLst>
            <a:ext uri="{FF2B5EF4-FFF2-40B4-BE49-F238E27FC236}">
              <a16:creationId xmlns:a16="http://schemas.microsoft.com/office/drawing/2014/main" id="{A2985C39-88F4-0865-2A52-149FAA020074}"/>
            </a:ext>
          </a:extLst>
        </xdr:cNvPr>
        <xdr:cNvSpPr/>
      </xdr:nvSpPr>
      <xdr:spPr>
        <a:xfrm>
          <a:off x="3444221" y="7544826"/>
          <a:ext cx="1073116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E1F0D75-7B1F-442A-B29B-C29A5BF04957}" type="TxLink">
            <a:rPr lang="en-US" sz="3200" b="1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t>30%</a:t>
          </a:fld>
          <a:endParaRPr lang="pt-BR" sz="5400" b="0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277020</xdr:colOff>
      <xdr:row>44</xdr:row>
      <xdr:rowOff>128954</xdr:rowOff>
    </xdr:from>
    <xdr:to>
      <xdr:col>6</xdr:col>
      <xdr:colOff>467519</xdr:colOff>
      <xdr:row>44</xdr:row>
      <xdr:rowOff>128954</xdr:rowOff>
    </xdr:to>
    <xdr:cxnSp macro="">
      <xdr:nvCxnSpPr>
        <xdr:cNvPr id="70" name="Conector reto 69">
          <a:extLst>
            <a:ext uri="{FF2B5EF4-FFF2-40B4-BE49-F238E27FC236}">
              <a16:creationId xmlns:a16="http://schemas.microsoft.com/office/drawing/2014/main" id="{6A1EAD13-7619-0D2D-660D-D062FB8B68FE}"/>
            </a:ext>
          </a:extLst>
        </xdr:cNvPr>
        <xdr:cNvCxnSpPr/>
      </xdr:nvCxnSpPr>
      <xdr:spPr>
        <a:xfrm>
          <a:off x="2973328" y="8371742"/>
          <a:ext cx="2014903" cy="0"/>
        </a:xfrm>
        <a:prstGeom prst="line">
          <a:avLst/>
        </a:prstGeom>
        <a:ln w="12700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208489</xdr:colOff>
      <xdr:row>43</xdr:row>
      <xdr:rowOff>107076</xdr:rowOff>
    </xdr:from>
    <xdr:to>
      <xdr:col>10</xdr:col>
      <xdr:colOff>67540</xdr:colOff>
      <xdr:row>48</xdr:row>
      <xdr:rowOff>102887</xdr:rowOff>
    </xdr:to>
    <xdr:sp macro="" textlink="C̳álculos!C72">
      <xdr:nvSpPr>
        <xdr:cNvPr id="82" name="Retângulo: Cantos Arredondados 81">
          <a:extLst>
            <a:ext uri="{FF2B5EF4-FFF2-40B4-BE49-F238E27FC236}">
              <a16:creationId xmlns:a16="http://schemas.microsoft.com/office/drawing/2014/main" id="{C647A1F7-A084-1CA5-C49C-76C6DD9B24E0}"/>
            </a:ext>
          </a:extLst>
        </xdr:cNvPr>
        <xdr:cNvSpPr/>
      </xdr:nvSpPr>
      <xdr:spPr>
        <a:xfrm>
          <a:off x="5945470" y="8159364"/>
          <a:ext cx="1075320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9BD20E2-79D3-444D-A164-C0C2CBFDAB48}" type="TxLink">
            <a:rPr lang="en-US" sz="2000" b="0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98</a:t>
          </a:fld>
          <a:endParaRPr lang="pt-BR" sz="2000" b="0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266695</xdr:colOff>
      <xdr:row>46</xdr:row>
      <xdr:rowOff>58071</xdr:rowOff>
    </xdr:from>
    <xdr:to>
      <xdr:col>10</xdr:col>
      <xdr:colOff>9334</xdr:colOff>
      <xdr:row>47</xdr:row>
      <xdr:rowOff>132480</xdr:rowOff>
    </xdr:to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F38F87D0-5E61-D826-E5DF-C721B1095275}"/>
            </a:ext>
          </a:extLst>
        </xdr:cNvPr>
        <xdr:cNvSpPr txBox="1"/>
      </xdr:nvSpPr>
      <xdr:spPr>
        <a:xfrm>
          <a:off x="6003676" y="8681859"/>
          <a:ext cx="958908" cy="26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>
              <a:solidFill>
                <a:srgbClr val="000000"/>
              </a:solidFill>
            </a:rPr>
            <a:t>Subscriptions</a:t>
          </a:r>
        </a:p>
      </xdr:txBody>
    </xdr:sp>
    <xdr:clientData/>
  </xdr:twoCellAnchor>
  <xdr:twoCellAnchor>
    <xdr:from>
      <xdr:col>10</xdr:col>
      <xdr:colOff>74607</xdr:colOff>
      <xdr:row>43</xdr:row>
      <xdr:rowOff>107076</xdr:rowOff>
    </xdr:from>
    <xdr:to>
      <xdr:col>12</xdr:col>
      <xdr:colOff>500756</xdr:colOff>
      <xdr:row>48</xdr:row>
      <xdr:rowOff>102887</xdr:rowOff>
    </xdr:to>
    <xdr:sp macro="" textlink="C̳álculos!D72">
      <xdr:nvSpPr>
        <xdr:cNvPr id="80" name="Retângulo: Cantos Arredondados 79">
          <a:extLst>
            <a:ext uri="{FF2B5EF4-FFF2-40B4-BE49-F238E27FC236}">
              <a16:creationId xmlns:a16="http://schemas.microsoft.com/office/drawing/2014/main" id="{D6A6A927-047C-30D5-C042-D84958B94238}"/>
            </a:ext>
          </a:extLst>
        </xdr:cNvPr>
        <xdr:cNvSpPr/>
      </xdr:nvSpPr>
      <xdr:spPr>
        <a:xfrm>
          <a:off x="7027857" y="8159364"/>
          <a:ext cx="1473899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554E54E-54C0-407A-8FFC-97C1602B65F4}" type="TxLink">
            <a:rPr lang="en-US" sz="2000" b="0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R$ 2.940,00</a:t>
          </a:fld>
          <a:endParaRPr lang="pt-BR" sz="2000" b="0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476381</xdr:colOff>
      <xdr:row>46</xdr:row>
      <xdr:rowOff>58071</xdr:rowOff>
    </xdr:from>
    <xdr:to>
      <xdr:col>12</xdr:col>
      <xdr:colOff>98982</xdr:colOff>
      <xdr:row>47</xdr:row>
      <xdr:rowOff>132480</xdr:rowOff>
    </xdr:to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18BB4EA3-8B09-93DA-54F7-1A1F2C1B8130}"/>
            </a:ext>
          </a:extLst>
        </xdr:cNvPr>
        <xdr:cNvSpPr txBox="1"/>
      </xdr:nvSpPr>
      <xdr:spPr>
        <a:xfrm>
          <a:off x="7429631" y="8681859"/>
          <a:ext cx="670351" cy="26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>
              <a:solidFill>
                <a:srgbClr val="000000"/>
              </a:solidFill>
            </a:rPr>
            <a:t>Revenue*</a:t>
          </a:r>
        </a:p>
      </xdr:txBody>
    </xdr:sp>
    <xdr:clientData/>
  </xdr:twoCellAnchor>
  <xdr:twoCellAnchor>
    <xdr:from>
      <xdr:col>9</xdr:col>
      <xdr:colOff>341940</xdr:colOff>
      <xdr:row>40</xdr:row>
      <xdr:rowOff>64038</xdr:rowOff>
    </xdr:from>
    <xdr:to>
      <xdr:col>11</xdr:col>
      <xdr:colOff>198786</xdr:colOff>
      <xdr:row>45</xdr:row>
      <xdr:rowOff>59849</xdr:rowOff>
    </xdr:to>
    <xdr:sp macro="" textlink="C̳álculos!E74">
      <xdr:nvSpPr>
        <xdr:cNvPr id="77" name="Retângulo: Cantos Arredondados 76">
          <a:extLst>
            <a:ext uri="{FF2B5EF4-FFF2-40B4-BE49-F238E27FC236}">
              <a16:creationId xmlns:a16="http://schemas.microsoft.com/office/drawing/2014/main" id="{4401C50B-BE72-1BCD-7562-4306318198BD}"/>
            </a:ext>
          </a:extLst>
        </xdr:cNvPr>
        <xdr:cNvSpPr/>
      </xdr:nvSpPr>
      <xdr:spPr>
        <a:xfrm>
          <a:off x="6687055" y="7544826"/>
          <a:ext cx="1073116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4B29DDA-0493-4C53-8BAC-08054A8009A1}" type="TxLink">
            <a:rPr lang="en-US" sz="3200" b="1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30%</a:t>
          </a:fld>
          <a:endParaRPr lang="pt-BR" sz="3200" b="1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479181</xdr:colOff>
      <xdr:row>44</xdr:row>
      <xdr:rowOff>128954</xdr:rowOff>
    </xdr:from>
    <xdr:to>
      <xdr:col>12</xdr:col>
      <xdr:colOff>230065</xdr:colOff>
      <xdr:row>44</xdr:row>
      <xdr:rowOff>128954</xdr:rowOff>
    </xdr:to>
    <xdr:cxnSp macro="">
      <xdr:nvCxnSpPr>
        <xdr:cNvPr id="75" name="Conector reto 74">
          <a:extLst>
            <a:ext uri="{FF2B5EF4-FFF2-40B4-BE49-F238E27FC236}">
              <a16:creationId xmlns:a16="http://schemas.microsoft.com/office/drawing/2014/main" id="{672C6CD8-DEEE-0C32-DAC1-B32AAB3A2041}"/>
            </a:ext>
          </a:extLst>
        </xdr:cNvPr>
        <xdr:cNvCxnSpPr/>
      </xdr:nvCxnSpPr>
      <xdr:spPr>
        <a:xfrm>
          <a:off x="6216162" y="8371742"/>
          <a:ext cx="2014903" cy="0"/>
        </a:xfrm>
        <a:prstGeom prst="line">
          <a:avLst/>
        </a:prstGeom>
        <a:ln w="12700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560243</xdr:colOff>
      <xdr:row>43</xdr:row>
      <xdr:rowOff>107076</xdr:rowOff>
    </xdr:from>
    <xdr:to>
      <xdr:col>15</xdr:col>
      <xdr:colOff>419294</xdr:colOff>
      <xdr:row>48</xdr:row>
      <xdr:rowOff>102887</xdr:rowOff>
    </xdr:to>
    <xdr:sp macro="" textlink="C̳álculos!C62">
      <xdr:nvSpPr>
        <xdr:cNvPr id="93" name="Retângulo: Cantos Arredondados 92">
          <a:extLst>
            <a:ext uri="{FF2B5EF4-FFF2-40B4-BE49-F238E27FC236}">
              <a16:creationId xmlns:a16="http://schemas.microsoft.com/office/drawing/2014/main" id="{F70EB3E6-7478-0F87-11AA-E91467E4FB46}"/>
            </a:ext>
          </a:extLst>
        </xdr:cNvPr>
        <xdr:cNvSpPr/>
      </xdr:nvSpPr>
      <xdr:spPr>
        <a:xfrm>
          <a:off x="9169378" y="8159364"/>
          <a:ext cx="1075320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BA54E92-FE2B-496B-8CFF-7BCEA95775C0}" type="TxLink">
            <a:rPr lang="en-US" sz="2000" b="0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194</a:t>
          </a:fld>
          <a:endParaRPr lang="pt-BR" sz="2000" b="0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10315</xdr:colOff>
      <xdr:row>46</xdr:row>
      <xdr:rowOff>58071</xdr:rowOff>
    </xdr:from>
    <xdr:to>
      <xdr:col>15</xdr:col>
      <xdr:colOff>361088</xdr:colOff>
      <xdr:row>47</xdr:row>
      <xdr:rowOff>132480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FC654B5B-90F8-A906-1294-4CD50374BEEE}"/>
            </a:ext>
          </a:extLst>
        </xdr:cNvPr>
        <xdr:cNvSpPr txBox="1"/>
      </xdr:nvSpPr>
      <xdr:spPr>
        <a:xfrm>
          <a:off x="9227584" y="8681859"/>
          <a:ext cx="958908" cy="26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>
              <a:solidFill>
                <a:srgbClr val="000000"/>
              </a:solidFill>
            </a:rPr>
            <a:t>Subscriptions</a:t>
          </a:r>
        </a:p>
      </xdr:txBody>
    </xdr:sp>
    <xdr:clientData/>
  </xdr:twoCellAnchor>
  <xdr:twoCellAnchor>
    <xdr:from>
      <xdr:col>15</xdr:col>
      <xdr:colOff>426361</xdr:colOff>
      <xdr:row>43</xdr:row>
      <xdr:rowOff>107076</xdr:rowOff>
    </xdr:from>
    <xdr:to>
      <xdr:col>18</xdr:col>
      <xdr:colOff>75856</xdr:colOff>
      <xdr:row>48</xdr:row>
      <xdr:rowOff>102887</xdr:rowOff>
    </xdr:to>
    <xdr:sp macro="" textlink="C̳álculos!D63">
      <xdr:nvSpPr>
        <xdr:cNvPr id="91" name="Retângulo: Cantos Arredondados 90">
          <a:extLst>
            <a:ext uri="{FF2B5EF4-FFF2-40B4-BE49-F238E27FC236}">
              <a16:creationId xmlns:a16="http://schemas.microsoft.com/office/drawing/2014/main" id="{8AD2A9EE-4547-45D4-19E6-F4A77A2C6A79}"/>
            </a:ext>
          </a:extLst>
        </xdr:cNvPr>
        <xdr:cNvSpPr/>
      </xdr:nvSpPr>
      <xdr:spPr>
        <a:xfrm>
          <a:off x="10251765" y="8159364"/>
          <a:ext cx="1473899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C7D695C-046C-41B0-95F0-973D5262C727}" type="TxLink">
            <a:rPr lang="en-US" sz="2000" b="0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R$ 3.880,00</a:t>
          </a:fld>
          <a:endParaRPr lang="pt-BR" sz="2000" b="0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220001</xdr:colOff>
      <xdr:row>46</xdr:row>
      <xdr:rowOff>58071</xdr:rowOff>
    </xdr:from>
    <xdr:to>
      <xdr:col>17</xdr:col>
      <xdr:colOff>282217</xdr:colOff>
      <xdr:row>47</xdr:row>
      <xdr:rowOff>132480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C711F0DA-8F96-2676-9D5E-227F3B9E4776}"/>
            </a:ext>
          </a:extLst>
        </xdr:cNvPr>
        <xdr:cNvSpPr txBox="1"/>
      </xdr:nvSpPr>
      <xdr:spPr>
        <a:xfrm>
          <a:off x="10653539" y="8681859"/>
          <a:ext cx="670351" cy="26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>
              <a:solidFill>
                <a:srgbClr val="000000"/>
              </a:solidFill>
            </a:rPr>
            <a:t>Revenue*</a:t>
          </a:r>
        </a:p>
      </xdr:txBody>
    </xdr:sp>
    <xdr:clientData/>
  </xdr:twoCellAnchor>
  <xdr:twoCellAnchor>
    <xdr:from>
      <xdr:col>15</xdr:col>
      <xdr:colOff>85559</xdr:colOff>
      <xdr:row>40</xdr:row>
      <xdr:rowOff>64038</xdr:rowOff>
    </xdr:from>
    <xdr:to>
      <xdr:col>16</xdr:col>
      <xdr:colOff>550541</xdr:colOff>
      <xdr:row>45</xdr:row>
      <xdr:rowOff>59849</xdr:rowOff>
    </xdr:to>
    <xdr:sp macro="" textlink="C̳álculos!E64">
      <xdr:nvSpPr>
        <xdr:cNvPr id="88" name="Retângulo: Cantos Arredondados 87">
          <a:extLst>
            <a:ext uri="{FF2B5EF4-FFF2-40B4-BE49-F238E27FC236}">
              <a16:creationId xmlns:a16="http://schemas.microsoft.com/office/drawing/2014/main" id="{A229D6FE-8689-4773-B9C6-FB411F73F144}"/>
            </a:ext>
          </a:extLst>
        </xdr:cNvPr>
        <xdr:cNvSpPr/>
      </xdr:nvSpPr>
      <xdr:spPr>
        <a:xfrm>
          <a:off x="9910963" y="7544826"/>
          <a:ext cx="1073116" cy="94831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0CCA94B-4997-4B22-9E60-F7BF0D9657AC}" type="TxLink">
            <a:rPr lang="en-US" sz="3200" b="1" i="0" u="none" strike="noStrike" kern="1200">
              <a:solidFill>
                <a:srgbClr val="107C10"/>
              </a:solidFill>
              <a:latin typeface="Aptos Narrow"/>
              <a:ea typeface="+mn-ea"/>
              <a:cs typeface="+mn-cs"/>
            </a:rPr>
            <a:pPr marL="0" indent="0" algn="ctr"/>
            <a:t>40%</a:t>
          </a:fld>
          <a:endParaRPr lang="pt-BR" sz="3200" b="1" i="0" u="none" strike="noStrike" kern="1200">
            <a:solidFill>
              <a:srgbClr val="107C1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222801</xdr:colOff>
      <xdr:row>44</xdr:row>
      <xdr:rowOff>128954</xdr:rowOff>
    </xdr:from>
    <xdr:to>
      <xdr:col>17</xdr:col>
      <xdr:colOff>413300</xdr:colOff>
      <xdr:row>44</xdr:row>
      <xdr:rowOff>128954</xdr:rowOff>
    </xdr:to>
    <xdr:cxnSp macro="">
      <xdr:nvCxnSpPr>
        <xdr:cNvPr id="86" name="Conector reto 85">
          <a:extLst>
            <a:ext uri="{FF2B5EF4-FFF2-40B4-BE49-F238E27FC236}">
              <a16:creationId xmlns:a16="http://schemas.microsoft.com/office/drawing/2014/main" id="{450925E4-E754-9138-E1AA-F89D3C7E23CF}"/>
            </a:ext>
          </a:extLst>
        </xdr:cNvPr>
        <xdr:cNvCxnSpPr/>
      </xdr:nvCxnSpPr>
      <xdr:spPr>
        <a:xfrm>
          <a:off x="9440070" y="8371742"/>
          <a:ext cx="2014903" cy="0"/>
        </a:xfrm>
        <a:prstGeom prst="line">
          <a:avLst/>
        </a:prstGeom>
        <a:ln w="12700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455568</xdr:colOff>
      <xdr:row>39</xdr:row>
      <xdr:rowOff>45427</xdr:rowOff>
    </xdr:from>
    <xdr:to>
      <xdr:col>7</xdr:col>
      <xdr:colOff>455568</xdr:colOff>
      <xdr:row>47</xdr:row>
      <xdr:rowOff>109904</xdr:rowOff>
    </xdr:to>
    <xdr:cxnSp macro="">
      <xdr:nvCxnSpPr>
        <xdr:cNvPr id="95" name="Conector reto 94">
          <a:extLst>
            <a:ext uri="{FF2B5EF4-FFF2-40B4-BE49-F238E27FC236}">
              <a16:creationId xmlns:a16="http://schemas.microsoft.com/office/drawing/2014/main" id="{C323AC51-E8AB-4573-9BEF-9CE093CF712F}"/>
            </a:ext>
          </a:extLst>
        </xdr:cNvPr>
        <xdr:cNvCxnSpPr/>
      </xdr:nvCxnSpPr>
      <xdr:spPr>
        <a:xfrm>
          <a:off x="5584414" y="7335715"/>
          <a:ext cx="0" cy="1588477"/>
        </a:xfrm>
        <a:prstGeom prst="line">
          <a:avLst/>
        </a:prstGeom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248948</xdr:colOff>
      <xdr:row>39</xdr:row>
      <xdr:rowOff>45427</xdr:rowOff>
    </xdr:from>
    <xdr:to>
      <xdr:col>13</xdr:col>
      <xdr:colOff>248948</xdr:colOff>
      <xdr:row>47</xdr:row>
      <xdr:rowOff>109904</xdr:rowOff>
    </xdr:to>
    <xdr:cxnSp macro="">
      <xdr:nvCxnSpPr>
        <xdr:cNvPr id="97" name="Conector reto 96">
          <a:extLst>
            <a:ext uri="{FF2B5EF4-FFF2-40B4-BE49-F238E27FC236}">
              <a16:creationId xmlns:a16="http://schemas.microsoft.com/office/drawing/2014/main" id="{E439E202-66EC-44A9-A980-A8F2C0C33901}"/>
            </a:ext>
          </a:extLst>
        </xdr:cNvPr>
        <xdr:cNvCxnSpPr/>
      </xdr:nvCxnSpPr>
      <xdr:spPr>
        <a:xfrm>
          <a:off x="8858083" y="7335715"/>
          <a:ext cx="0" cy="1588477"/>
        </a:xfrm>
        <a:prstGeom prst="line">
          <a:avLst/>
        </a:prstGeom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13</xdr:row>
      <xdr:rowOff>131885</xdr:rowOff>
    </xdr:from>
    <xdr:to>
      <xdr:col>0</xdr:col>
      <xdr:colOff>1782000</xdr:colOff>
      <xdr:row>22</xdr:row>
      <xdr:rowOff>74735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8" name="Meses (Start Date)">
              <a:extLst>
                <a:ext uri="{FF2B5EF4-FFF2-40B4-BE49-F238E27FC236}">
                  <a16:creationId xmlns:a16="http://schemas.microsoft.com/office/drawing/2014/main" id="{63F7D3D0-78B5-4C0F-9209-FD18ED49F5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69173"/>
              <a:ext cx="1782000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30527</xdr:colOff>
      <xdr:row>15</xdr:row>
      <xdr:rowOff>176259</xdr:rowOff>
    </xdr:from>
    <xdr:to>
      <xdr:col>7</xdr:col>
      <xdr:colOff>577363</xdr:colOff>
      <xdr:row>17</xdr:row>
      <xdr:rowOff>23927</xdr:rowOff>
    </xdr:to>
    <xdr:grpSp>
      <xdr:nvGrpSpPr>
        <xdr:cNvPr id="101" name="Agrupar 100">
          <a:extLst>
            <a:ext uri="{FF2B5EF4-FFF2-40B4-BE49-F238E27FC236}">
              <a16:creationId xmlns:a16="http://schemas.microsoft.com/office/drawing/2014/main" id="{8B9DE1D9-12E3-AEDD-A642-C87DC09D4EAF}"/>
            </a:ext>
          </a:extLst>
        </xdr:cNvPr>
        <xdr:cNvGrpSpPr/>
      </xdr:nvGrpSpPr>
      <xdr:grpSpPr>
        <a:xfrm>
          <a:off x="2118700" y="2894547"/>
          <a:ext cx="3587509" cy="228668"/>
          <a:chOff x="2118700" y="2894547"/>
          <a:chExt cx="3587509" cy="228668"/>
        </a:xfrm>
      </xdr:grpSpPr>
      <xdr:sp macro="" textlink="">
        <xdr:nvSpPr>
          <xdr:cNvPr id="99" name="Retângulo 98">
            <a:extLst>
              <a:ext uri="{FF2B5EF4-FFF2-40B4-BE49-F238E27FC236}">
                <a16:creationId xmlns:a16="http://schemas.microsoft.com/office/drawing/2014/main" id="{C9AA2617-BFED-4E90-99DD-728BB680A067}"/>
              </a:ext>
            </a:extLst>
          </xdr:cNvPr>
          <xdr:cNvSpPr/>
        </xdr:nvSpPr>
        <xdr:spPr>
          <a:xfrm>
            <a:off x="2118700" y="2894547"/>
            <a:ext cx="1874474" cy="2286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800" b="0" kern="1200">
                <a:solidFill>
                  <a:schemeClr val="bg1">
                    <a:lumMod val="50000"/>
                  </a:schemeClr>
                </a:solidFill>
              </a:rPr>
              <a:t>*After discounts. Total without discounts:</a:t>
            </a:r>
          </a:p>
        </xdr:txBody>
      </xdr:sp>
      <xdr:sp macro="" textlink="C̳álculos!G73">
        <xdr:nvSpPr>
          <xdr:cNvPr id="100" name="Retângulo 99">
            <a:extLst>
              <a:ext uri="{FF2B5EF4-FFF2-40B4-BE49-F238E27FC236}">
                <a16:creationId xmlns:a16="http://schemas.microsoft.com/office/drawing/2014/main" id="{697F9E64-D420-41E0-B88C-C5E43E12A94F}"/>
              </a:ext>
            </a:extLst>
          </xdr:cNvPr>
          <xdr:cNvSpPr/>
        </xdr:nvSpPr>
        <xdr:spPr>
          <a:xfrm>
            <a:off x="3831735" y="2894547"/>
            <a:ext cx="1874474" cy="2286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fld id="{C1B8055E-6CE7-4F52-89F6-5AAC450AE23D}" type="TxLink">
              <a:rPr lang="en-US" sz="800" b="0" kern="12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pPr marL="0" indent="0" algn="l"/>
              <a:t>R$ 9.755,00</a:t>
            </a:fld>
            <a:endParaRPr lang="pt-BR" sz="800" b="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</xdr:col>
      <xdr:colOff>57883</xdr:colOff>
      <xdr:row>47</xdr:row>
      <xdr:rowOff>139211</xdr:rowOff>
    </xdr:from>
    <xdr:to>
      <xdr:col>5</xdr:col>
      <xdr:colOff>263768</xdr:colOff>
      <xdr:row>48</xdr:row>
      <xdr:rowOff>177379</xdr:rowOff>
    </xdr:to>
    <xdr:sp macro="" textlink="">
      <xdr:nvSpPr>
        <xdr:cNvPr id="103" name="Retângulo 102">
          <a:extLst>
            <a:ext uri="{FF2B5EF4-FFF2-40B4-BE49-F238E27FC236}">
              <a16:creationId xmlns:a16="http://schemas.microsoft.com/office/drawing/2014/main" id="{6A6D54CC-938D-6DFB-71FA-D46877DF1114}"/>
            </a:ext>
          </a:extLst>
        </xdr:cNvPr>
        <xdr:cNvSpPr/>
      </xdr:nvSpPr>
      <xdr:spPr>
        <a:xfrm>
          <a:off x="2146056" y="8953499"/>
          <a:ext cx="2030289" cy="2286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0" kern="1200">
              <a:solidFill>
                <a:schemeClr val="bg1">
                  <a:lumMod val="50000"/>
                </a:schemeClr>
              </a:solidFill>
            </a:rPr>
            <a:t>*Before discounts.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x v="0"/>
    <n v="5"/>
    <n v="60"/>
  </r>
  <r>
    <n v="3232"/>
    <x v="1"/>
    <x v="1"/>
    <x v="1"/>
    <x v="1"/>
    <n v="5"/>
    <x v="1"/>
    <x v="1"/>
    <x v="1"/>
    <x v="1"/>
    <x v="1"/>
    <n v="0"/>
    <n v="5"/>
  </r>
  <r>
    <n v="3233"/>
    <x v="2"/>
    <x v="2"/>
    <x v="2"/>
    <x v="0"/>
    <n v="10"/>
    <x v="2"/>
    <x v="1"/>
    <x v="1"/>
    <x v="0"/>
    <x v="0"/>
    <n v="10"/>
    <n v="20"/>
  </r>
  <r>
    <n v="3234"/>
    <x v="3"/>
    <x v="0"/>
    <x v="3"/>
    <x v="1"/>
    <n v="15"/>
    <x v="0"/>
    <x v="0"/>
    <x v="0"/>
    <x v="0"/>
    <x v="0"/>
    <n v="3"/>
    <n v="62"/>
  </r>
  <r>
    <n v="3235"/>
    <x v="4"/>
    <x v="1"/>
    <x v="4"/>
    <x v="0"/>
    <n v="5"/>
    <x v="0"/>
    <x v="1"/>
    <x v="1"/>
    <x v="1"/>
    <x v="1"/>
    <n v="1"/>
    <n v="4"/>
  </r>
  <r>
    <n v="3236"/>
    <x v="5"/>
    <x v="2"/>
    <x v="5"/>
    <x v="1"/>
    <n v="10"/>
    <x v="0"/>
    <x v="1"/>
    <x v="1"/>
    <x v="0"/>
    <x v="0"/>
    <n v="2"/>
    <n v="28"/>
  </r>
  <r>
    <n v="3237"/>
    <x v="6"/>
    <x v="0"/>
    <x v="6"/>
    <x v="0"/>
    <n v="15"/>
    <x v="2"/>
    <x v="0"/>
    <x v="0"/>
    <x v="0"/>
    <x v="0"/>
    <n v="10"/>
    <n v="55"/>
  </r>
  <r>
    <n v="3238"/>
    <x v="7"/>
    <x v="1"/>
    <x v="7"/>
    <x v="0"/>
    <n v="5"/>
    <x v="1"/>
    <x v="1"/>
    <x v="1"/>
    <x v="1"/>
    <x v="1"/>
    <n v="0"/>
    <n v="5"/>
  </r>
  <r>
    <n v="3239"/>
    <x v="8"/>
    <x v="0"/>
    <x v="4"/>
    <x v="1"/>
    <n v="15"/>
    <x v="0"/>
    <x v="0"/>
    <x v="0"/>
    <x v="0"/>
    <x v="0"/>
    <n v="5"/>
    <n v="60"/>
  </r>
  <r>
    <n v="3240"/>
    <x v="9"/>
    <x v="2"/>
    <x v="8"/>
    <x v="0"/>
    <n v="10"/>
    <x v="2"/>
    <x v="1"/>
    <x v="1"/>
    <x v="0"/>
    <x v="0"/>
    <n v="15"/>
    <n v="15"/>
  </r>
  <r>
    <n v="3241"/>
    <x v="10"/>
    <x v="1"/>
    <x v="9"/>
    <x v="1"/>
    <n v="5"/>
    <x v="0"/>
    <x v="1"/>
    <x v="1"/>
    <x v="1"/>
    <x v="1"/>
    <n v="1"/>
    <n v="4"/>
  </r>
  <r>
    <n v="3242"/>
    <x v="11"/>
    <x v="0"/>
    <x v="10"/>
    <x v="0"/>
    <n v="15"/>
    <x v="1"/>
    <x v="0"/>
    <x v="0"/>
    <x v="0"/>
    <x v="0"/>
    <n v="20"/>
    <n v="45"/>
  </r>
  <r>
    <n v="3243"/>
    <x v="12"/>
    <x v="2"/>
    <x v="11"/>
    <x v="1"/>
    <n v="10"/>
    <x v="0"/>
    <x v="1"/>
    <x v="1"/>
    <x v="0"/>
    <x v="0"/>
    <n v="10"/>
    <n v="20"/>
  </r>
  <r>
    <n v="3244"/>
    <x v="13"/>
    <x v="1"/>
    <x v="12"/>
    <x v="0"/>
    <n v="5"/>
    <x v="2"/>
    <x v="1"/>
    <x v="1"/>
    <x v="1"/>
    <x v="1"/>
    <n v="0"/>
    <n v="5"/>
  </r>
  <r>
    <n v="3245"/>
    <x v="14"/>
    <x v="0"/>
    <x v="13"/>
    <x v="1"/>
    <n v="15"/>
    <x v="0"/>
    <x v="0"/>
    <x v="0"/>
    <x v="0"/>
    <x v="0"/>
    <n v="8"/>
    <n v="57"/>
  </r>
  <r>
    <n v="3246"/>
    <x v="15"/>
    <x v="2"/>
    <x v="14"/>
    <x v="0"/>
    <n v="10"/>
    <x v="1"/>
    <x v="1"/>
    <x v="1"/>
    <x v="0"/>
    <x v="0"/>
    <n v="12"/>
    <n v="18"/>
  </r>
  <r>
    <n v="3247"/>
    <x v="16"/>
    <x v="1"/>
    <x v="15"/>
    <x v="1"/>
    <n v="5"/>
    <x v="0"/>
    <x v="1"/>
    <x v="1"/>
    <x v="1"/>
    <x v="1"/>
    <n v="2"/>
    <n v="3"/>
  </r>
  <r>
    <n v="3248"/>
    <x v="17"/>
    <x v="0"/>
    <x v="16"/>
    <x v="0"/>
    <n v="15"/>
    <x v="2"/>
    <x v="0"/>
    <x v="0"/>
    <x v="0"/>
    <x v="0"/>
    <n v="7"/>
    <n v="58"/>
  </r>
  <r>
    <n v="3249"/>
    <x v="18"/>
    <x v="2"/>
    <x v="17"/>
    <x v="1"/>
    <n v="10"/>
    <x v="0"/>
    <x v="1"/>
    <x v="1"/>
    <x v="0"/>
    <x v="0"/>
    <n v="5"/>
    <n v="25"/>
  </r>
  <r>
    <n v="3250"/>
    <x v="19"/>
    <x v="1"/>
    <x v="18"/>
    <x v="0"/>
    <n v="5"/>
    <x v="1"/>
    <x v="1"/>
    <x v="1"/>
    <x v="1"/>
    <x v="1"/>
    <n v="0"/>
    <n v="5"/>
  </r>
  <r>
    <n v="3251"/>
    <x v="20"/>
    <x v="0"/>
    <x v="19"/>
    <x v="1"/>
    <n v="15"/>
    <x v="0"/>
    <x v="0"/>
    <x v="0"/>
    <x v="0"/>
    <x v="0"/>
    <n v="3"/>
    <n v="62"/>
  </r>
  <r>
    <n v="3252"/>
    <x v="21"/>
    <x v="2"/>
    <x v="20"/>
    <x v="0"/>
    <n v="10"/>
    <x v="2"/>
    <x v="1"/>
    <x v="1"/>
    <x v="0"/>
    <x v="0"/>
    <n v="15"/>
    <n v="15"/>
  </r>
  <r>
    <n v="3253"/>
    <x v="22"/>
    <x v="1"/>
    <x v="21"/>
    <x v="1"/>
    <n v="5"/>
    <x v="0"/>
    <x v="1"/>
    <x v="1"/>
    <x v="1"/>
    <x v="1"/>
    <n v="1"/>
    <n v="4"/>
  </r>
  <r>
    <n v="3254"/>
    <x v="23"/>
    <x v="0"/>
    <x v="22"/>
    <x v="0"/>
    <n v="15"/>
    <x v="1"/>
    <x v="0"/>
    <x v="0"/>
    <x v="0"/>
    <x v="0"/>
    <n v="20"/>
    <n v="45"/>
  </r>
  <r>
    <n v="3255"/>
    <x v="24"/>
    <x v="2"/>
    <x v="23"/>
    <x v="1"/>
    <n v="10"/>
    <x v="0"/>
    <x v="1"/>
    <x v="1"/>
    <x v="0"/>
    <x v="0"/>
    <n v="10"/>
    <n v="20"/>
  </r>
  <r>
    <n v="3256"/>
    <x v="25"/>
    <x v="1"/>
    <x v="24"/>
    <x v="0"/>
    <n v="5"/>
    <x v="2"/>
    <x v="1"/>
    <x v="1"/>
    <x v="1"/>
    <x v="1"/>
    <n v="0"/>
    <n v="5"/>
  </r>
  <r>
    <n v="3257"/>
    <x v="26"/>
    <x v="0"/>
    <x v="25"/>
    <x v="1"/>
    <n v="15"/>
    <x v="0"/>
    <x v="0"/>
    <x v="0"/>
    <x v="0"/>
    <x v="0"/>
    <n v="5"/>
    <n v="60"/>
  </r>
  <r>
    <n v="3258"/>
    <x v="27"/>
    <x v="2"/>
    <x v="26"/>
    <x v="0"/>
    <n v="10"/>
    <x v="1"/>
    <x v="1"/>
    <x v="1"/>
    <x v="0"/>
    <x v="0"/>
    <n v="15"/>
    <n v="15"/>
  </r>
  <r>
    <n v="3259"/>
    <x v="28"/>
    <x v="1"/>
    <x v="27"/>
    <x v="1"/>
    <n v="5"/>
    <x v="0"/>
    <x v="1"/>
    <x v="1"/>
    <x v="1"/>
    <x v="1"/>
    <n v="1"/>
    <n v="4"/>
  </r>
  <r>
    <n v="3260"/>
    <x v="29"/>
    <x v="0"/>
    <x v="28"/>
    <x v="0"/>
    <n v="15"/>
    <x v="2"/>
    <x v="0"/>
    <x v="0"/>
    <x v="0"/>
    <x v="0"/>
    <n v="7"/>
    <n v="58"/>
  </r>
  <r>
    <n v="3261"/>
    <x v="30"/>
    <x v="2"/>
    <x v="29"/>
    <x v="1"/>
    <n v="10"/>
    <x v="0"/>
    <x v="1"/>
    <x v="1"/>
    <x v="0"/>
    <x v="0"/>
    <n v="10"/>
    <n v="20"/>
  </r>
  <r>
    <n v="3262"/>
    <x v="31"/>
    <x v="1"/>
    <x v="30"/>
    <x v="0"/>
    <n v="5"/>
    <x v="1"/>
    <x v="1"/>
    <x v="1"/>
    <x v="1"/>
    <x v="1"/>
    <n v="0"/>
    <n v="5"/>
  </r>
  <r>
    <n v="3263"/>
    <x v="32"/>
    <x v="0"/>
    <x v="31"/>
    <x v="1"/>
    <n v="15"/>
    <x v="0"/>
    <x v="0"/>
    <x v="0"/>
    <x v="0"/>
    <x v="0"/>
    <n v="3"/>
    <n v="62"/>
  </r>
  <r>
    <n v="3264"/>
    <x v="33"/>
    <x v="2"/>
    <x v="32"/>
    <x v="0"/>
    <n v="10"/>
    <x v="2"/>
    <x v="1"/>
    <x v="1"/>
    <x v="0"/>
    <x v="0"/>
    <n v="15"/>
    <n v="15"/>
  </r>
  <r>
    <n v="3265"/>
    <x v="34"/>
    <x v="1"/>
    <x v="33"/>
    <x v="1"/>
    <n v="5"/>
    <x v="0"/>
    <x v="1"/>
    <x v="1"/>
    <x v="1"/>
    <x v="1"/>
    <n v="1"/>
    <n v="4"/>
  </r>
  <r>
    <n v="3266"/>
    <x v="35"/>
    <x v="1"/>
    <x v="34"/>
    <x v="0"/>
    <n v="5"/>
    <x v="0"/>
    <x v="1"/>
    <x v="1"/>
    <x v="1"/>
    <x v="1"/>
    <n v="0"/>
    <n v="5"/>
  </r>
  <r>
    <n v="3267"/>
    <x v="36"/>
    <x v="0"/>
    <x v="35"/>
    <x v="1"/>
    <n v="15"/>
    <x v="2"/>
    <x v="0"/>
    <x v="0"/>
    <x v="0"/>
    <x v="0"/>
    <n v="7"/>
    <n v="58"/>
  </r>
  <r>
    <n v="3268"/>
    <x v="37"/>
    <x v="2"/>
    <x v="36"/>
    <x v="0"/>
    <n v="10"/>
    <x v="1"/>
    <x v="1"/>
    <x v="1"/>
    <x v="0"/>
    <x v="0"/>
    <n v="10"/>
    <n v="20"/>
  </r>
  <r>
    <n v="3269"/>
    <x v="38"/>
    <x v="1"/>
    <x v="37"/>
    <x v="1"/>
    <n v="5"/>
    <x v="2"/>
    <x v="1"/>
    <x v="1"/>
    <x v="1"/>
    <x v="1"/>
    <n v="1"/>
    <n v="4"/>
  </r>
  <r>
    <n v="3270"/>
    <x v="39"/>
    <x v="0"/>
    <x v="38"/>
    <x v="0"/>
    <n v="15"/>
    <x v="0"/>
    <x v="0"/>
    <x v="0"/>
    <x v="0"/>
    <x v="0"/>
    <n v="15"/>
    <n v="50"/>
  </r>
  <r>
    <n v="3271"/>
    <x v="40"/>
    <x v="2"/>
    <x v="39"/>
    <x v="1"/>
    <n v="10"/>
    <x v="0"/>
    <x v="1"/>
    <x v="1"/>
    <x v="0"/>
    <x v="0"/>
    <n v="5"/>
    <n v="25"/>
  </r>
  <r>
    <n v="3272"/>
    <x v="41"/>
    <x v="1"/>
    <x v="40"/>
    <x v="0"/>
    <n v="5"/>
    <x v="1"/>
    <x v="1"/>
    <x v="1"/>
    <x v="1"/>
    <x v="1"/>
    <n v="0"/>
    <n v="5"/>
  </r>
  <r>
    <n v="3273"/>
    <x v="42"/>
    <x v="0"/>
    <x v="41"/>
    <x v="1"/>
    <n v="15"/>
    <x v="2"/>
    <x v="0"/>
    <x v="0"/>
    <x v="0"/>
    <x v="0"/>
    <n v="20"/>
    <n v="45"/>
  </r>
  <r>
    <n v="3274"/>
    <x v="43"/>
    <x v="2"/>
    <x v="42"/>
    <x v="0"/>
    <n v="10"/>
    <x v="2"/>
    <x v="1"/>
    <x v="1"/>
    <x v="0"/>
    <x v="0"/>
    <n v="12"/>
    <n v="18"/>
  </r>
  <r>
    <n v="3275"/>
    <x v="44"/>
    <x v="1"/>
    <x v="43"/>
    <x v="1"/>
    <n v="5"/>
    <x v="0"/>
    <x v="1"/>
    <x v="1"/>
    <x v="1"/>
    <x v="1"/>
    <n v="2"/>
    <n v="3"/>
  </r>
  <r>
    <n v="3276"/>
    <x v="45"/>
    <x v="0"/>
    <x v="44"/>
    <x v="0"/>
    <n v="15"/>
    <x v="1"/>
    <x v="0"/>
    <x v="0"/>
    <x v="0"/>
    <x v="0"/>
    <n v="5"/>
    <n v="60"/>
  </r>
  <r>
    <n v="3277"/>
    <x v="46"/>
    <x v="2"/>
    <x v="45"/>
    <x v="1"/>
    <n v="10"/>
    <x v="0"/>
    <x v="1"/>
    <x v="1"/>
    <x v="0"/>
    <x v="0"/>
    <n v="10"/>
    <n v="20"/>
  </r>
  <r>
    <n v="3278"/>
    <x v="47"/>
    <x v="1"/>
    <x v="46"/>
    <x v="0"/>
    <n v="5"/>
    <x v="2"/>
    <x v="1"/>
    <x v="1"/>
    <x v="1"/>
    <x v="1"/>
    <n v="0"/>
    <n v="5"/>
  </r>
  <r>
    <n v="3279"/>
    <x v="48"/>
    <x v="0"/>
    <x v="47"/>
    <x v="1"/>
    <n v="15"/>
    <x v="0"/>
    <x v="0"/>
    <x v="0"/>
    <x v="0"/>
    <x v="0"/>
    <n v="3"/>
    <n v="62"/>
  </r>
  <r>
    <n v="3280"/>
    <x v="49"/>
    <x v="2"/>
    <x v="48"/>
    <x v="0"/>
    <n v="10"/>
    <x v="1"/>
    <x v="1"/>
    <x v="1"/>
    <x v="0"/>
    <x v="0"/>
    <n v="15"/>
    <n v="15"/>
  </r>
  <r>
    <n v="3281"/>
    <x v="50"/>
    <x v="1"/>
    <x v="49"/>
    <x v="1"/>
    <n v="5"/>
    <x v="0"/>
    <x v="1"/>
    <x v="1"/>
    <x v="1"/>
    <x v="1"/>
    <n v="1"/>
    <n v="4"/>
  </r>
  <r>
    <n v="3282"/>
    <x v="51"/>
    <x v="0"/>
    <x v="50"/>
    <x v="0"/>
    <n v="15"/>
    <x v="2"/>
    <x v="0"/>
    <x v="0"/>
    <x v="0"/>
    <x v="0"/>
    <n v="7"/>
    <n v="58"/>
  </r>
  <r>
    <n v="3283"/>
    <x v="52"/>
    <x v="2"/>
    <x v="51"/>
    <x v="1"/>
    <n v="10"/>
    <x v="0"/>
    <x v="1"/>
    <x v="1"/>
    <x v="0"/>
    <x v="0"/>
    <n v="10"/>
    <n v="20"/>
  </r>
  <r>
    <n v="3284"/>
    <x v="53"/>
    <x v="1"/>
    <x v="52"/>
    <x v="0"/>
    <n v="5"/>
    <x v="1"/>
    <x v="1"/>
    <x v="1"/>
    <x v="1"/>
    <x v="1"/>
    <n v="0"/>
    <n v="5"/>
  </r>
  <r>
    <n v="3285"/>
    <x v="54"/>
    <x v="0"/>
    <x v="53"/>
    <x v="1"/>
    <n v="15"/>
    <x v="0"/>
    <x v="0"/>
    <x v="0"/>
    <x v="0"/>
    <x v="0"/>
    <n v="20"/>
    <n v="45"/>
  </r>
  <r>
    <n v="3286"/>
    <x v="55"/>
    <x v="2"/>
    <x v="54"/>
    <x v="0"/>
    <n v="10"/>
    <x v="2"/>
    <x v="1"/>
    <x v="1"/>
    <x v="0"/>
    <x v="0"/>
    <n v="15"/>
    <n v="15"/>
  </r>
  <r>
    <n v="3287"/>
    <x v="56"/>
    <x v="1"/>
    <x v="55"/>
    <x v="1"/>
    <n v="5"/>
    <x v="0"/>
    <x v="1"/>
    <x v="1"/>
    <x v="1"/>
    <x v="1"/>
    <n v="1"/>
    <n v="4"/>
  </r>
  <r>
    <n v="3288"/>
    <x v="57"/>
    <x v="0"/>
    <x v="56"/>
    <x v="0"/>
    <n v="15"/>
    <x v="1"/>
    <x v="0"/>
    <x v="0"/>
    <x v="0"/>
    <x v="0"/>
    <n v="3"/>
    <n v="62"/>
  </r>
  <r>
    <n v="3289"/>
    <x v="58"/>
    <x v="2"/>
    <x v="57"/>
    <x v="1"/>
    <n v="10"/>
    <x v="0"/>
    <x v="1"/>
    <x v="1"/>
    <x v="0"/>
    <x v="0"/>
    <n v="10"/>
    <n v="20"/>
  </r>
  <r>
    <n v="3290"/>
    <x v="59"/>
    <x v="1"/>
    <x v="58"/>
    <x v="0"/>
    <n v="5"/>
    <x v="2"/>
    <x v="1"/>
    <x v="1"/>
    <x v="1"/>
    <x v="1"/>
    <n v="0"/>
    <n v="5"/>
  </r>
  <r>
    <n v="3291"/>
    <x v="60"/>
    <x v="0"/>
    <x v="59"/>
    <x v="1"/>
    <n v="15"/>
    <x v="0"/>
    <x v="0"/>
    <x v="0"/>
    <x v="0"/>
    <x v="0"/>
    <n v="5"/>
    <n v="60"/>
  </r>
  <r>
    <n v="3292"/>
    <x v="61"/>
    <x v="2"/>
    <x v="60"/>
    <x v="0"/>
    <n v="10"/>
    <x v="1"/>
    <x v="1"/>
    <x v="1"/>
    <x v="0"/>
    <x v="0"/>
    <n v="15"/>
    <n v="15"/>
  </r>
  <r>
    <n v="3293"/>
    <x v="62"/>
    <x v="1"/>
    <x v="61"/>
    <x v="1"/>
    <n v="5"/>
    <x v="0"/>
    <x v="1"/>
    <x v="1"/>
    <x v="1"/>
    <x v="1"/>
    <n v="1"/>
    <n v="4"/>
  </r>
  <r>
    <n v="3294"/>
    <x v="63"/>
    <x v="0"/>
    <x v="62"/>
    <x v="0"/>
    <n v="15"/>
    <x v="2"/>
    <x v="0"/>
    <x v="0"/>
    <x v="0"/>
    <x v="0"/>
    <n v="20"/>
    <n v="45"/>
  </r>
  <r>
    <n v="3295"/>
    <x v="64"/>
    <x v="2"/>
    <x v="63"/>
    <x v="1"/>
    <n v="10"/>
    <x v="0"/>
    <x v="1"/>
    <x v="1"/>
    <x v="0"/>
    <x v="0"/>
    <n v="5"/>
    <n v="25"/>
  </r>
  <r>
    <n v="3296"/>
    <x v="65"/>
    <x v="1"/>
    <x v="64"/>
    <x v="1"/>
    <n v="5"/>
    <x v="0"/>
    <x v="1"/>
    <x v="1"/>
    <x v="1"/>
    <x v="1"/>
    <n v="0"/>
    <n v="5"/>
  </r>
  <r>
    <n v="3297"/>
    <x v="66"/>
    <x v="0"/>
    <x v="65"/>
    <x v="0"/>
    <n v="15"/>
    <x v="2"/>
    <x v="0"/>
    <x v="0"/>
    <x v="0"/>
    <x v="0"/>
    <n v="7"/>
    <n v="58"/>
  </r>
  <r>
    <n v="3298"/>
    <x v="67"/>
    <x v="2"/>
    <x v="66"/>
    <x v="1"/>
    <n v="10"/>
    <x v="1"/>
    <x v="1"/>
    <x v="1"/>
    <x v="0"/>
    <x v="0"/>
    <n v="10"/>
    <n v="20"/>
  </r>
  <r>
    <n v="3299"/>
    <x v="68"/>
    <x v="1"/>
    <x v="67"/>
    <x v="0"/>
    <n v="5"/>
    <x v="2"/>
    <x v="1"/>
    <x v="1"/>
    <x v="1"/>
    <x v="1"/>
    <n v="1"/>
    <n v="4"/>
  </r>
  <r>
    <n v="3300"/>
    <x v="69"/>
    <x v="0"/>
    <x v="68"/>
    <x v="1"/>
    <n v="15"/>
    <x v="0"/>
    <x v="0"/>
    <x v="0"/>
    <x v="0"/>
    <x v="0"/>
    <n v="15"/>
    <n v="50"/>
  </r>
  <r>
    <n v="3301"/>
    <x v="70"/>
    <x v="2"/>
    <x v="69"/>
    <x v="0"/>
    <n v="10"/>
    <x v="0"/>
    <x v="1"/>
    <x v="1"/>
    <x v="0"/>
    <x v="0"/>
    <n v="5"/>
    <n v="25"/>
  </r>
  <r>
    <n v="3302"/>
    <x v="71"/>
    <x v="1"/>
    <x v="70"/>
    <x v="1"/>
    <n v="5"/>
    <x v="1"/>
    <x v="1"/>
    <x v="1"/>
    <x v="1"/>
    <x v="1"/>
    <n v="0"/>
    <n v="5"/>
  </r>
  <r>
    <n v="3303"/>
    <x v="72"/>
    <x v="0"/>
    <x v="71"/>
    <x v="0"/>
    <n v="15"/>
    <x v="2"/>
    <x v="0"/>
    <x v="0"/>
    <x v="0"/>
    <x v="0"/>
    <n v="20"/>
    <n v="45"/>
  </r>
  <r>
    <n v="3304"/>
    <x v="73"/>
    <x v="2"/>
    <x v="72"/>
    <x v="1"/>
    <n v="10"/>
    <x v="2"/>
    <x v="1"/>
    <x v="1"/>
    <x v="0"/>
    <x v="0"/>
    <n v="12"/>
    <n v="18"/>
  </r>
  <r>
    <n v="3305"/>
    <x v="74"/>
    <x v="1"/>
    <x v="73"/>
    <x v="0"/>
    <n v="5"/>
    <x v="0"/>
    <x v="1"/>
    <x v="1"/>
    <x v="1"/>
    <x v="1"/>
    <n v="2"/>
    <n v="3"/>
  </r>
  <r>
    <n v="3306"/>
    <x v="75"/>
    <x v="0"/>
    <x v="74"/>
    <x v="1"/>
    <n v="15"/>
    <x v="1"/>
    <x v="0"/>
    <x v="0"/>
    <x v="0"/>
    <x v="0"/>
    <n v="5"/>
    <n v="60"/>
  </r>
  <r>
    <n v="3307"/>
    <x v="76"/>
    <x v="2"/>
    <x v="75"/>
    <x v="0"/>
    <n v="10"/>
    <x v="0"/>
    <x v="1"/>
    <x v="1"/>
    <x v="0"/>
    <x v="0"/>
    <n v="10"/>
    <n v="20"/>
  </r>
  <r>
    <n v="3308"/>
    <x v="77"/>
    <x v="1"/>
    <x v="76"/>
    <x v="1"/>
    <n v="5"/>
    <x v="2"/>
    <x v="1"/>
    <x v="1"/>
    <x v="1"/>
    <x v="1"/>
    <n v="0"/>
    <n v="5"/>
  </r>
  <r>
    <n v="3309"/>
    <x v="78"/>
    <x v="0"/>
    <x v="77"/>
    <x v="0"/>
    <n v="15"/>
    <x v="0"/>
    <x v="0"/>
    <x v="0"/>
    <x v="0"/>
    <x v="0"/>
    <n v="3"/>
    <n v="62"/>
  </r>
  <r>
    <n v="3310"/>
    <x v="79"/>
    <x v="2"/>
    <x v="78"/>
    <x v="1"/>
    <n v="10"/>
    <x v="1"/>
    <x v="1"/>
    <x v="1"/>
    <x v="0"/>
    <x v="0"/>
    <n v="15"/>
    <n v="15"/>
  </r>
  <r>
    <n v="3311"/>
    <x v="80"/>
    <x v="1"/>
    <x v="79"/>
    <x v="0"/>
    <n v="5"/>
    <x v="0"/>
    <x v="1"/>
    <x v="1"/>
    <x v="1"/>
    <x v="1"/>
    <n v="1"/>
    <n v="4"/>
  </r>
  <r>
    <n v="3312"/>
    <x v="81"/>
    <x v="0"/>
    <x v="80"/>
    <x v="1"/>
    <n v="15"/>
    <x v="2"/>
    <x v="0"/>
    <x v="0"/>
    <x v="0"/>
    <x v="0"/>
    <n v="7"/>
    <n v="58"/>
  </r>
  <r>
    <n v="3313"/>
    <x v="82"/>
    <x v="2"/>
    <x v="81"/>
    <x v="0"/>
    <n v="10"/>
    <x v="0"/>
    <x v="1"/>
    <x v="1"/>
    <x v="0"/>
    <x v="0"/>
    <n v="10"/>
    <n v="20"/>
  </r>
  <r>
    <n v="3314"/>
    <x v="83"/>
    <x v="1"/>
    <x v="82"/>
    <x v="1"/>
    <n v="5"/>
    <x v="1"/>
    <x v="1"/>
    <x v="1"/>
    <x v="1"/>
    <x v="1"/>
    <n v="0"/>
    <n v="5"/>
  </r>
  <r>
    <n v="3315"/>
    <x v="84"/>
    <x v="0"/>
    <x v="83"/>
    <x v="0"/>
    <n v="15"/>
    <x v="0"/>
    <x v="0"/>
    <x v="0"/>
    <x v="0"/>
    <x v="0"/>
    <n v="20"/>
    <n v="45"/>
  </r>
  <r>
    <n v="3316"/>
    <x v="85"/>
    <x v="2"/>
    <x v="84"/>
    <x v="1"/>
    <n v="10"/>
    <x v="2"/>
    <x v="1"/>
    <x v="1"/>
    <x v="0"/>
    <x v="0"/>
    <n v="15"/>
    <n v="15"/>
  </r>
  <r>
    <n v="3317"/>
    <x v="86"/>
    <x v="1"/>
    <x v="85"/>
    <x v="0"/>
    <n v="5"/>
    <x v="0"/>
    <x v="1"/>
    <x v="1"/>
    <x v="1"/>
    <x v="1"/>
    <n v="1"/>
    <n v="4"/>
  </r>
  <r>
    <n v="3318"/>
    <x v="87"/>
    <x v="0"/>
    <x v="86"/>
    <x v="1"/>
    <n v="15"/>
    <x v="1"/>
    <x v="0"/>
    <x v="0"/>
    <x v="0"/>
    <x v="0"/>
    <n v="3"/>
    <n v="62"/>
  </r>
  <r>
    <n v="3319"/>
    <x v="88"/>
    <x v="2"/>
    <x v="87"/>
    <x v="0"/>
    <n v="10"/>
    <x v="0"/>
    <x v="1"/>
    <x v="1"/>
    <x v="0"/>
    <x v="0"/>
    <n v="10"/>
    <n v="20"/>
  </r>
  <r>
    <n v="3320"/>
    <x v="89"/>
    <x v="1"/>
    <x v="88"/>
    <x v="1"/>
    <n v="5"/>
    <x v="2"/>
    <x v="1"/>
    <x v="1"/>
    <x v="1"/>
    <x v="1"/>
    <n v="0"/>
    <n v="5"/>
  </r>
  <r>
    <n v="3321"/>
    <x v="90"/>
    <x v="0"/>
    <x v="89"/>
    <x v="0"/>
    <n v="15"/>
    <x v="0"/>
    <x v="0"/>
    <x v="0"/>
    <x v="0"/>
    <x v="0"/>
    <n v="5"/>
    <n v="60"/>
  </r>
  <r>
    <n v="3322"/>
    <x v="91"/>
    <x v="2"/>
    <x v="90"/>
    <x v="1"/>
    <n v="10"/>
    <x v="1"/>
    <x v="1"/>
    <x v="1"/>
    <x v="0"/>
    <x v="0"/>
    <n v="15"/>
    <n v="15"/>
  </r>
  <r>
    <n v="3323"/>
    <x v="92"/>
    <x v="1"/>
    <x v="91"/>
    <x v="0"/>
    <n v="5"/>
    <x v="0"/>
    <x v="1"/>
    <x v="1"/>
    <x v="1"/>
    <x v="1"/>
    <n v="1"/>
    <n v="4"/>
  </r>
  <r>
    <n v="3324"/>
    <x v="93"/>
    <x v="0"/>
    <x v="92"/>
    <x v="1"/>
    <n v="15"/>
    <x v="2"/>
    <x v="0"/>
    <x v="0"/>
    <x v="0"/>
    <x v="0"/>
    <n v="20"/>
    <n v="45"/>
  </r>
  <r>
    <n v="3325"/>
    <x v="94"/>
    <x v="2"/>
    <x v="93"/>
    <x v="0"/>
    <n v="10"/>
    <x v="2"/>
    <x v="1"/>
    <x v="1"/>
    <x v="0"/>
    <x v="0"/>
    <n v="15"/>
    <n v="15"/>
  </r>
  <r>
    <n v="3326"/>
    <x v="95"/>
    <x v="1"/>
    <x v="94"/>
    <x v="1"/>
    <n v="5"/>
    <x v="1"/>
    <x v="1"/>
    <x v="1"/>
    <x v="1"/>
    <x v="1"/>
    <n v="0"/>
    <n v="5"/>
  </r>
  <r>
    <n v="3327"/>
    <x v="96"/>
    <x v="0"/>
    <x v="95"/>
    <x v="0"/>
    <n v="15"/>
    <x v="0"/>
    <x v="0"/>
    <x v="0"/>
    <x v="0"/>
    <x v="0"/>
    <n v="7"/>
    <n v="58"/>
  </r>
  <r>
    <n v="3328"/>
    <x v="97"/>
    <x v="2"/>
    <x v="96"/>
    <x v="1"/>
    <n v="10"/>
    <x v="1"/>
    <x v="1"/>
    <x v="1"/>
    <x v="0"/>
    <x v="0"/>
    <n v="10"/>
    <n v="20"/>
  </r>
  <r>
    <n v="3329"/>
    <x v="98"/>
    <x v="1"/>
    <x v="97"/>
    <x v="0"/>
    <n v="5"/>
    <x v="2"/>
    <x v="1"/>
    <x v="1"/>
    <x v="1"/>
    <x v="1"/>
    <n v="1"/>
    <n v="4"/>
  </r>
  <r>
    <n v="3330"/>
    <x v="99"/>
    <x v="0"/>
    <x v="98"/>
    <x v="1"/>
    <n v="15"/>
    <x v="0"/>
    <x v="0"/>
    <x v="0"/>
    <x v="0"/>
    <x v="0"/>
    <n v="15"/>
    <n v="50"/>
  </r>
  <r>
    <n v="3331"/>
    <x v="100"/>
    <x v="2"/>
    <x v="99"/>
    <x v="0"/>
    <n v="10"/>
    <x v="0"/>
    <x v="1"/>
    <x v="1"/>
    <x v="0"/>
    <x v="0"/>
    <n v="5"/>
    <n v="25"/>
  </r>
  <r>
    <n v="3332"/>
    <x v="101"/>
    <x v="1"/>
    <x v="100"/>
    <x v="1"/>
    <n v="5"/>
    <x v="1"/>
    <x v="1"/>
    <x v="1"/>
    <x v="1"/>
    <x v="1"/>
    <n v="0"/>
    <n v="5"/>
  </r>
  <r>
    <n v="3333"/>
    <x v="102"/>
    <x v="0"/>
    <x v="101"/>
    <x v="0"/>
    <n v="15"/>
    <x v="2"/>
    <x v="0"/>
    <x v="0"/>
    <x v="0"/>
    <x v="0"/>
    <n v="20"/>
    <n v="45"/>
  </r>
  <r>
    <n v="3334"/>
    <x v="103"/>
    <x v="2"/>
    <x v="102"/>
    <x v="1"/>
    <n v="10"/>
    <x v="2"/>
    <x v="1"/>
    <x v="1"/>
    <x v="0"/>
    <x v="0"/>
    <n v="12"/>
    <n v="18"/>
  </r>
  <r>
    <n v="3335"/>
    <x v="104"/>
    <x v="1"/>
    <x v="103"/>
    <x v="0"/>
    <n v="5"/>
    <x v="0"/>
    <x v="1"/>
    <x v="1"/>
    <x v="1"/>
    <x v="1"/>
    <n v="2"/>
    <n v="3"/>
  </r>
  <r>
    <n v="3336"/>
    <x v="105"/>
    <x v="1"/>
    <x v="104"/>
    <x v="0"/>
    <n v="5"/>
    <x v="0"/>
    <x v="1"/>
    <x v="1"/>
    <x v="1"/>
    <x v="1"/>
    <n v="0"/>
    <n v="5"/>
  </r>
  <r>
    <n v="3337"/>
    <x v="106"/>
    <x v="0"/>
    <x v="105"/>
    <x v="1"/>
    <n v="15"/>
    <x v="2"/>
    <x v="0"/>
    <x v="0"/>
    <x v="0"/>
    <x v="0"/>
    <n v="7"/>
    <n v="58"/>
  </r>
  <r>
    <n v="3338"/>
    <x v="107"/>
    <x v="2"/>
    <x v="106"/>
    <x v="0"/>
    <n v="10"/>
    <x v="1"/>
    <x v="1"/>
    <x v="1"/>
    <x v="0"/>
    <x v="0"/>
    <n v="10"/>
    <n v="20"/>
  </r>
  <r>
    <n v="3339"/>
    <x v="108"/>
    <x v="1"/>
    <x v="107"/>
    <x v="1"/>
    <n v="5"/>
    <x v="2"/>
    <x v="1"/>
    <x v="1"/>
    <x v="1"/>
    <x v="1"/>
    <n v="1"/>
    <n v="4"/>
  </r>
  <r>
    <n v="3340"/>
    <x v="109"/>
    <x v="0"/>
    <x v="108"/>
    <x v="0"/>
    <n v="15"/>
    <x v="0"/>
    <x v="0"/>
    <x v="0"/>
    <x v="0"/>
    <x v="0"/>
    <n v="15"/>
    <n v="50"/>
  </r>
  <r>
    <n v="3341"/>
    <x v="110"/>
    <x v="2"/>
    <x v="109"/>
    <x v="1"/>
    <n v="10"/>
    <x v="0"/>
    <x v="1"/>
    <x v="1"/>
    <x v="0"/>
    <x v="0"/>
    <n v="5"/>
    <n v="25"/>
  </r>
  <r>
    <n v="3342"/>
    <x v="111"/>
    <x v="1"/>
    <x v="110"/>
    <x v="0"/>
    <n v="5"/>
    <x v="1"/>
    <x v="1"/>
    <x v="1"/>
    <x v="1"/>
    <x v="1"/>
    <n v="0"/>
    <n v="5"/>
  </r>
  <r>
    <n v="3343"/>
    <x v="112"/>
    <x v="0"/>
    <x v="111"/>
    <x v="1"/>
    <n v="15"/>
    <x v="2"/>
    <x v="0"/>
    <x v="0"/>
    <x v="0"/>
    <x v="0"/>
    <n v="20"/>
    <n v="45"/>
  </r>
  <r>
    <n v="3344"/>
    <x v="113"/>
    <x v="2"/>
    <x v="112"/>
    <x v="0"/>
    <n v="10"/>
    <x v="2"/>
    <x v="1"/>
    <x v="1"/>
    <x v="0"/>
    <x v="0"/>
    <n v="12"/>
    <n v="18"/>
  </r>
  <r>
    <n v="3345"/>
    <x v="114"/>
    <x v="1"/>
    <x v="113"/>
    <x v="1"/>
    <n v="5"/>
    <x v="0"/>
    <x v="1"/>
    <x v="1"/>
    <x v="1"/>
    <x v="1"/>
    <n v="2"/>
    <n v="3"/>
  </r>
  <r>
    <n v="3346"/>
    <x v="115"/>
    <x v="0"/>
    <x v="114"/>
    <x v="0"/>
    <n v="15"/>
    <x v="1"/>
    <x v="0"/>
    <x v="0"/>
    <x v="0"/>
    <x v="0"/>
    <n v="5"/>
    <n v="60"/>
  </r>
  <r>
    <n v="3347"/>
    <x v="116"/>
    <x v="2"/>
    <x v="115"/>
    <x v="1"/>
    <n v="10"/>
    <x v="0"/>
    <x v="1"/>
    <x v="1"/>
    <x v="0"/>
    <x v="0"/>
    <n v="10"/>
    <n v="20"/>
  </r>
  <r>
    <n v="3348"/>
    <x v="117"/>
    <x v="1"/>
    <x v="116"/>
    <x v="0"/>
    <n v="5"/>
    <x v="2"/>
    <x v="1"/>
    <x v="1"/>
    <x v="1"/>
    <x v="1"/>
    <n v="0"/>
    <n v="5"/>
  </r>
  <r>
    <n v="3349"/>
    <x v="93"/>
    <x v="0"/>
    <x v="117"/>
    <x v="1"/>
    <n v="15"/>
    <x v="0"/>
    <x v="0"/>
    <x v="0"/>
    <x v="0"/>
    <x v="0"/>
    <n v="3"/>
    <n v="62"/>
  </r>
  <r>
    <n v="3350"/>
    <x v="118"/>
    <x v="2"/>
    <x v="118"/>
    <x v="0"/>
    <n v="10"/>
    <x v="1"/>
    <x v="1"/>
    <x v="1"/>
    <x v="0"/>
    <x v="0"/>
    <n v="15"/>
    <n v="15"/>
  </r>
  <r>
    <n v="3351"/>
    <x v="119"/>
    <x v="1"/>
    <x v="119"/>
    <x v="1"/>
    <n v="5"/>
    <x v="0"/>
    <x v="1"/>
    <x v="1"/>
    <x v="1"/>
    <x v="1"/>
    <n v="1"/>
    <n v="4"/>
  </r>
  <r>
    <n v="3352"/>
    <x v="120"/>
    <x v="0"/>
    <x v="120"/>
    <x v="0"/>
    <n v="15"/>
    <x v="2"/>
    <x v="0"/>
    <x v="0"/>
    <x v="0"/>
    <x v="0"/>
    <n v="7"/>
    <n v="58"/>
  </r>
  <r>
    <n v="3353"/>
    <x v="121"/>
    <x v="2"/>
    <x v="121"/>
    <x v="1"/>
    <n v="10"/>
    <x v="0"/>
    <x v="1"/>
    <x v="1"/>
    <x v="0"/>
    <x v="0"/>
    <n v="10"/>
    <n v="20"/>
  </r>
  <r>
    <n v="3354"/>
    <x v="122"/>
    <x v="1"/>
    <x v="122"/>
    <x v="0"/>
    <n v="5"/>
    <x v="1"/>
    <x v="1"/>
    <x v="1"/>
    <x v="1"/>
    <x v="1"/>
    <n v="0"/>
    <n v="5"/>
  </r>
  <r>
    <n v="3355"/>
    <x v="123"/>
    <x v="0"/>
    <x v="123"/>
    <x v="1"/>
    <n v="15"/>
    <x v="0"/>
    <x v="0"/>
    <x v="0"/>
    <x v="0"/>
    <x v="0"/>
    <n v="20"/>
    <n v="45"/>
  </r>
  <r>
    <n v="3356"/>
    <x v="124"/>
    <x v="2"/>
    <x v="124"/>
    <x v="0"/>
    <n v="10"/>
    <x v="2"/>
    <x v="1"/>
    <x v="1"/>
    <x v="0"/>
    <x v="0"/>
    <n v="15"/>
    <n v="15"/>
  </r>
  <r>
    <n v="3357"/>
    <x v="125"/>
    <x v="1"/>
    <x v="125"/>
    <x v="1"/>
    <n v="5"/>
    <x v="0"/>
    <x v="1"/>
    <x v="1"/>
    <x v="1"/>
    <x v="1"/>
    <n v="1"/>
    <n v="4"/>
  </r>
  <r>
    <n v="3358"/>
    <x v="126"/>
    <x v="0"/>
    <x v="126"/>
    <x v="0"/>
    <n v="15"/>
    <x v="1"/>
    <x v="0"/>
    <x v="0"/>
    <x v="0"/>
    <x v="0"/>
    <n v="3"/>
    <n v="62"/>
  </r>
  <r>
    <n v="3359"/>
    <x v="127"/>
    <x v="2"/>
    <x v="127"/>
    <x v="1"/>
    <n v="10"/>
    <x v="0"/>
    <x v="1"/>
    <x v="1"/>
    <x v="0"/>
    <x v="0"/>
    <n v="10"/>
    <n v="20"/>
  </r>
  <r>
    <n v="3360"/>
    <x v="128"/>
    <x v="1"/>
    <x v="128"/>
    <x v="0"/>
    <n v="5"/>
    <x v="2"/>
    <x v="1"/>
    <x v="1"/>
    <x v="1"/>
    <x v="1"/>
    <n v="0"/>
    <n v="5"/>
  </r>
  <r>
    <n v="3361"/>
    <x v="129"/>
    <x v="0"/>
    <x v="129"/>
    <x v="1"/>
    <n v="15"/>
    <x v="0"/>
    <x v="0"/>
    <x v="0"/>
    <x v="0"/>
    <x v="0"/>
    <n v="15"/>
    <n v="50"/>
  </r>
  <r>
    <n v="3362"/>
    <x v="130"/>
    <x v="2"/>
    <x v="130"/>
    <x v="0"/>
    <n v="10"/>
    <x v="1"/>
    <x v="1"/>
    <x v="1"/>
    <x v="0"/>
    <x v="0"/>
    <n v="15"/>
    <n v="15"/>
  </r>
  <r>
    <n v="3363"/>
    <x v="131"/>
    <x v="1"/>
    <x v="131"/>
    <x v="1"/>
    <n v="5"/>
    <x v="0"/>
    <x v="1"/>
    <x v="1"/>
    <x v="1"/>
    <x v="1"/>
    <n v="1"/>
    <n v="4"/>
  </r>
  <r>
    <n v="3364"/>
    <x v="132"/>
    <x v="0"/>
    <x v="132"/>
    <x v="0"/>
    <n v="15"/>
    <x v="2"/>
    <x v="0"/>
    <x v="0"/>
    <x v="0"/>
    <x v="0"/>
    <n v="7"/>
    <n v="58"/>
  </r>
  <r>
    <n v="3365"/>
    <x v="133"/>
    <x v="2"/>
    <x v="133"/>
    <x v="1"/>
    <n v="10"/>
    <x v="0"/>
    <x v="1"/>
    <x v="1"/>
    <x v="0"/>
    <x v="0"/>
    <n v="10"/>
    <n v="20"/>
  </r>
  <r>
    <n v="3366"/>
    <x v="134"/>
    <x v="1"/>
    <x v="134"/>
    <x v="0"/>
    <n v="5"/>
    <x v="0"/>
    <x v="1"/>
    <x v="1"/>
    <x v="1"/>
    <x v="1"/>
    <n v="0"/>
    <n v="5"/>
  </r>
  <r>
    <n v="3367"/>
    <x v="135"/>
    <x v="0"/>
    <x v="135"/>
    <x v="1"/>
    <n v="15"/>
    <x v="2"/>
    <x v="0"/>
    <x v="0"/>
    <x v="0"/>
    <x v="0"/>
    <n v="7"/>
    <n v="58"/>
  </r>
  <r>
    <n v="3368"/>
    <x v="136"/>
    <x v="2"/>
    <x v="136"/>
    <x v="0"/>
    <n v="10"/>
    <x v="1"/>
    <x v="1"/>
    <x v="1"/>
    <x v="0"/>
    <x v="0"/>
    <n v="10"/>
    <n v="20"/>
  </r>
  <r>
    <n v="3369"/>
    <x v="137"/>
    <x v="1"/>
    <x v="137"/>
    <x v="1"/>
    <n v="5"/>
    <x v="2"/>
    <x v="1"/>
    <x v="1"/>
    <x v="1"/>
    <x v="1"/>
    <n v="1"/>
    <n v="4"/>
  </r>
  <r>
    <n v="3370"/>
    <x v="138"/>
    <x v="0"/>
    <x v="138"/>
    <x v="0"/>
    <n v="15"/>
    <x v="0"/>
    <x v="0"/>
    <x v="0"/>
    <x v="0"/>
    <x v="0"/>
    <n v="15"/>
    <n v="50"/>
  </r>
  <r>
    <n v="3371"/>
    <x v="139"/>
    <x v="2"/>
    <x v="139"/>
    <x v="1"/>
    <n v="10"/>
    <x v="0"/>
    <x v="1"/>
    <x v="1"/>
    <x v="0"/>
    <x v="0"/>
    <n v="5"/>
    <n v="25"/>
  </r>
  <r>
    <n v="3372"/>
    <x v="140"/>
    <x v="1"/>
    <x v="140"/>
    <x v="0"/>
    <n v="5"/>
    <x v="1"/>
    <x v="1"/>
    <x v="1"/>
    <x v="1"/>
    <x v="1"/>
    <n v="0"/>
    <n v="5"/>
  </r>
  <r>
    <n v="3373"/>
    <x v="141"/>
    <x v="0"/>
    <x v="141"/>
    <x v="1"/>
    <n v="15"/>
    <x v="2"/>
    <x v="0"/>
    <x v="0"/>
    <x v="0"/>
    <x v="0"/>
    <n v="20"/>
    <n v="45"/>
  </r>
  <r>
    <n v="3374"/>
    <x v="142"/>
    <x v="2"/>
    <x v="142"/>
    <x v="0"/>
    <n v="10"/>
    <x v="2"/>
    <x v="1"/>
    <x v="1"/>
    <x v="0"/>
    <x v="0"/>
    <n v="12"/>
    <n v="18"/>
  </r>
  <r>
    <n v="3375"/>
    <x v="143"/>
    <x v="1"/>
    <x v="143"/>
    <x v="1"/>
    <n v="5"/>
    <x v="0"/>
    <x v="1"/>
    <x v="1"/>
    <x v="1"/>
    <x v="1"/>
    <n v="2"/>
    <n v="3"/>
  </r>
  <r>
    <n v="3376"/>
    <x v="144"/>
    <x v="0"/>
    <x v="144"/>
    <x v="0"/>
    <n v="15"/>
    <x v="1"/>
    <x v="0"/>
    <x v="0"/>
    <x v="0"/>
    <x v="0"/>
    <n v="5"/>
    <n v="60"/>
  </r>
  <r>
    <n v="3377"/>
    <x v="145"/>
    <x v="2"/>
    <x v="145"/>
    <x v="1"/>
    <n v="10"/>
    <x v="0"/>
    <x v="1"/>
    <x v="1"/>
    <x v="0"/>
    <x v="0"/>
    <n v="10"/>
    <n v="20"/>
  </r>
  <r>
    <n v="3378"/>
    <x v="146"/>
    <x v="1"/>
    <x v="146"/>
    <x v="0"/>
    <n v="5"/>
    <x v="2"/>
    <x v="1"/>
    <x v="1"/>
    <x v="1"/>
    <x v="1"/>
    <n v="0"/>
    <n v="5"/>
  </r>
  <r>
    <n v="3379"/>
    <x v="147"/>
    <x v="0"/>
    <x v="147"/>
    <x v="1"/>
    <n v="15"/>
    <x v="0"/>
    <x v="0"/>
    <x v="0"/>
    <x v="0"/>
    <x v="0"/>
    <n v="3"/>
    <n v="62"/>
  </r>
  <r>
    <n v="3380"/>
    <x v="148"/>
    <x v="2"/>
    <x v="148"/>
    <x v="0"/>
    <n v="10"/>
    <x v="1"/>
    <x v="1"/>
    <x v="1"/>
    <x v="0"/>
    <x v="0"/>
    <n v="15"/>
    <n v="15"/>
  </r>
  <r>
    <n v="3381"/>
    <x v="149"/>
    <x v="1"/>
    <x v="149"/>
    <x v="1"/>
    <n v="5"/>
    <x v="0"/>
    <x v="1"/>
    <x v="1"/>
    <x v="1"/>
    <x v="1"/>
    <n v="1"/>
    <n v="4"/>
  </r>
  <r>
    <n v="3382"/>
    <x v="150"/>
    <x v="0"/>
    <x v="150"/>
    <x v="0"/>
    <n v="15"/>
    <x v="2"/>
    <x v="0"/>
    <x v="0"/>
    <x v="0"/>
    <x v="0"/>
    <n v="7"/>
    <n v="58"/>
  </r>
  <r>
    <n v="3383"/>
    <x v="151"/>
    <x v="2"/>
    <x v="151"/>
    <x v="1"/>
    <n v="10"/>
    <x v="0"/>
    <x v="1"/>
    <x v="1"/>
    <x v="0"/>
    <x v="0"/>
    <n v="10"/>
    <n v="20"/>
  </r>
  <r>
    <n v="3384"/>
    <x v="152"/>
    <x v="1"/>
    <x v="152"/>
    <x v="0"/>
    <n v="5"/>
    <x v="1"/>
    <x v="1"/>
    <x v="1"/>
    <x v="1"/>
    <x v="1"/>
    <n v="0"/>
    <n v="5"/>
  </r>
  <r>
    <n v="3385"/>
    <x v="153"/>
    <x v="0"/>
    <x v="153"/>
    <x v="1"/>
    <n v="15"/>
    <x v="0"/>
    <x v="0"/>
    <x v="0"/>
    <x v="0"/>
    <x v="0"/>
    <n v="20"/>
    <n v="45"/>
  </r>
  <r>
    <n v="3386"/>
    <x v="154"/>
    <x v="2"/>
    <x v="154"/>
    <x v="0"/>
    <n v="10"/>
    <x v="2"/>
    <x v="1"/>
    <x v="1"/>
    <x v="0"/>
    <x v="0"/>
    <n v="15"/>
    <n v="15"/>
  </r>
  <r>
    <n v="3387"/>
    <x v="155"/>
    <x v="1"/>
    <x v="155"/>
    <x v="1"/>
    <n v="5"/>
    <x v="0"/>
    <x v="1"/>
    <x v="1"/>
    <x v="1"/>
    <x v="1"/>
    <n v="1"/>
    <n v="4"/>
  </r>
  <r>
    <n v="3388"/>
    <x v="156"/>
    <x v="0"/>
    <x v="156"/>
    <x v="0"/>
    <n v="15"/>
    <x v="1"/>
    <x v="0"/>
    <x v="0"/>
    <x v="0"/>
    <x v="0"/>
    <n v="3"/>
    <n v="62"/>
  </r>
  <r>
    <n v="3389"/>
    <x v="157"/>
    <x v="2"/>
    <x v="157"/>
    <x v="1"/>
    <n v="10"/>
    <x v="0"/>
    <x v="1"/>
    <x v="1"/>
    <x v="0"/>
    <x v="0"/>
    <n v="10"/>
    <n v="20"/>
  </r>
  <r>
    <n v="3390"/>
    <x v="158"/>
    <x v="1"/>
    <x v="158"/>
    <x v="0"/>
    <n v="5"/>
    <x v="2"/>
    <x v="1"/>
    <x v="1"/>
    <x v="1"/>
    <x v="1"/>
    <n v="0"/>
    <n v="5"/>
  </r>
  <r>
    <n v="3391"/>
    <x v="58"/>
    <x v="0"/>
    <x v="159"/>
    <x v="1"/>
    <n v="15"/>
    <x v="0"/>
    <x v="0"/>
    <x v="0"/>
    <x v="0"/>
    <x v="0"/>
    <n v="15"/>
    <n v="50"/>
  </r>
  <r>
    <n v="3392"/>
    <x v="159"/>
    <x v="2"/>
    <x v="160"/>
    <x v="0"/>
    <n v="10"/>
    <x v="1"/>
    <x v="1"/>
    <x v="1"/>
    <x v="0"/>
    <x v="0"/>
    <n v="15"/>
    <n v="15"/>
  </r>
  <r>
    <n v="3393"/>
    <x v="160"/>
    <x v="1"/>
    <x v="161"/>
    <x v="1"/>
    <n v="5"/>
    <x v="0"/>
    <x v="1"/>
    <x v="1"/>
    <x v="1"/>
    <x v="1"/>
    <n v="1"/>
    <n v="4"/>
  </r>
  <r>
    <n v="3394"/>
    <x v="161"/>
    <x v="0"/>
    <x v="162"/>
    <x v="0"/>
    <n v="15"/>
    <x v="2"/>
    <x v="0"/>
    <x v="0"/>
    <x v="0"/>
    <x v="0"/>
    <n v="7"/>
    <n v="58"/>
  </r>
  <r>
    <n v="3395"/>
    <x v="162"/>
    <x v="2"/>
    <x v="163"/>
    <x v="1"/>
    <n v="10"/>
    <x v="0"/>
    <x v="1"/>
    <x v="1"/>
    <x v="0"/>
    <x v="0"/>
    <n v="10"/>
    <n v="20"/>
  </r>
  <r>
    <n v="3396"/>
    <x v="163"/>
    <x v="1"/>
    <x v="164"/>
    <x v="0"/>
    <n v="5"/>
    <x v="1"/>
    <x v="1"/>
    <x v="1"/>
    <x v="1"/>
    <x v="1"/>
    <n v="0"/>
    <n v="5"/>
  </r>
  <r>
    <n v="3397"/>
    <x v="90"/>
    <x v="0"/>
    <x v="165"/>
    <x v="1"/>
    <n v="15"/>
    <x v="0"/>
    <x v="0"/>
    <x v="0"/>
    <x v="0"/>
    <x v="0"/>
    <n v="20"/>
    <n v="45"/>
  </r>
  <r>
    <n v="3398"/>
    <x v="164"/>
    <x v="2"/>
    <x v="166"/>
    <x v="0"/>
    <n v="10"/>
    <x v="2"/>
    <x v="1"/>
    <x v="1"/>
    <x v="0"/>
    <x v="0"/>
    <n v="15"/>
    <n v="15"/>
  </r>
  <r>
    <n v="3399"/>
    <x v="165"/>
    <x v="1"/>
    <x v="167"/>
    <x v="1"/>
    <n v="5"/>
    <x v="0"/>
    <x v="1"/>
    <x v="1"/>
    <x v="1"/>
    <x v="1"/>
    <n v="1"/>
    <n v="4"/>
  </r>
  <r>
    <n v="3400"/>
    <x v="166"/>
    <x v="0"/>
    <x v="168"/>
    <x v="0"/>
    <n v="15"/>
    <x v="1"/>
    <x v="0"/>
    <x v="0"/>
    <x v="0"/>
    <x v="0"/>
    <n v="5"/>
    <n v="60"/>
  </r>
  <r>
    <n v="3401"/>
    <x v="167"/>
    <x v="2"/>
    <x v="169"/>
    <x v="1"/>
    <n v="10"/>
    <x v="0"/>
    <x v="1"/>
    <x v="1"/>
    <x v="0"/>
    <x v="0"/>
    <n v="10"/>
    <n v="20"/>
  </r>
  <r>
    <n v="3402"/>
    <x v="168"/>
    <x v="1"/>
    <x v="170"/>
    <x v="0"/>
    <n v="5"/>
    <x v="2"/>
    <x v="1"/>
    <x v="1"/>
    <x v="1"/>
    <x v="1"/>
    <n v="0"/>
    <n v="5"/>
  </r>
  <r>
    <n v="3403"/>
    <x v="169"/>
    <x v="0"/>
    <x v="171"/>
    <x v="1"/>
    <n v="15"/>
    <x v="0"/>
    <x v="0"/>
    <x v="0"/>
    <x v="0"/>
    <x v="0"/>
    <n v="3"/>
    <n v="62"/>
  </r>
  <r>
    <n v="3404"/>
    <x v="170"/>
    <x v="2"/>
    <x v="172"/>
    <x v="0"/>
    <n v="10"/>
    <x v="1"/>
    <x v="1"/>
    <x v="1"/>
    <x v="0"/>
    <x v="0"/>
    <n v="15"/>
    <n v="15"/>
  </r>
  <r>
    <n v="3405"/>
    <x v="171"/>
    <x v="1"/>
    <x v="173"/>
    <x v="1"/>
    <n v="5"/>
    <x v="0"/>
    <x v="1"/>
    <x v="1"/>
    <x v="1"/>
    <x v="1"/>
    <n v="1"/>
    <n v="4"/>
  </r>
  <r>
    <n v="3406"/>
    <x v="172"/>
    <x v="1"/>
    <x v="174"/>
    <x v="0"/>
    <n v="5"/>
    <x v="0"/>
    <x v="1"/>
    <x v="1"/>
    <x v="1"/>
    <x v="1"/>
    <n v="0"/>
    <n v="5"/>
  </r>
  <r>
    <n v="3407"/>
    <x v="173"/>
    <x v="0"/>
    <x v="175"/>
    <x v="1"/>
    <n v="15"/>
    <x v="2"/>
    <x v="0"/>
    <x v="0"/>
    <x v="0"/>
    <x v="0"/>
    <n v="7"/>
    <n v="58"/>
  </r>
  <r>
    <n v="3408"/>
    <x v="174"/>
    <x v="2"/>
    <x v="176"/>
    <x v="0"/>
    <n v="10"/>
    <x v="1"/>
    <x v="1"/>
    <x v="1"/>
    <x v="0"/>
    <x v="0"/>
    <n v="10"/>
    <n v="20"/>
  </r>
  <r>
    <n v="3409"/>
    <x v="175"/>
    <x v="1"/>
    <x v="177"/>
    <x v="1"/>
    <n v="5"/>
    <x v="2"/>
    <x v="1"/>
    <x v="1"/>
    <x v="1"/>
    <x v="1"/>
    <n v="1"/>
    <n v="4"/>
  </r>
  <r>
    <n v="3410"/>
    <x v="176"/>
    <x v="0"/>
    <x v="178"/>
    <x v="0"/>
    <n v="15"/>
    <x v="0"/>
    <x v="0"/>
    <x v="0"/>
    <x v="0"/>
    <x v="0"/>
    <n v="15"/>
    <n v="50"/>
  </r>
  <r>
    <n v="3411"/>
    <x v="177"/>
    <x v="2"/>
    <x v="179"/>
    <x v="1"/>
    <n v="10"/>
    <x v="0"/>
    <x v="1"/>
    <x v="1"/>
    <x v="0"/>
    <x v="0"/>
    <n v="5"/>
    <n v="25"/>
  </r>
  <r>
    <n v="3412"/>
    <x v="178"/>
    <x v="1"/>
    <x v="180"/>
    <x v="0"/>
    <n v="5"/>
    <x v="1"/>
    <x v="1"/>
    <x v="1"/>
    <x v="1"/>
    <x v="1"/>
    <n v="0"/>
    <n v="5"/>
  </r>
  <r>
    <n v="3413"/>
    <x v="179"/>
    <x v="0"/>
    <x v="181"/>
    <x v="1"/>
    <n v="15"/>
    <x v="2"/>
    <x v="0"/>
    <x v="0"/>
    <x v="0"/>
    <x v="0"/>
    <n v="20"/>
    <n v="45"/>
  </r>
  <r>
    <n v="3414"/>
    <x v="180"/>
    <x v="2"/>
    <x v="182"/>
    <x v="0"/>
    <n v="10"/>
    <x v="2"/>
    <x v="1"/>
    <x v="1"/>
    <x v="0"/>
    <x v="0"/>
    <n v="12"/>
    <n v="18"/>
  </r>
  <r>
    <n v="3415"/>
    <x v="181"/>
    <x v="1"/>
    <x v="183"/>
    <x v="1"/>
    <n v="5"/>
    <x v="0"/>
    <x v="1"/>
    <x v="1"/>
    <x v="1"/>
    <x v="1"/>
    <n v="2"/>
    <n v="3"/>
  </r>
  <r>
    <n v="3416"/>
    <x v="182"/>
    <x v="0"/>
    <x v="184"/>
    <x v="0"/>
    <n v="15"/>
    <x v="1"/>
    <x v="0"/>
    <x v="0"/>
    <x v="0"/>
    <x v="0"/>
    <n v="5"/>
    <n v="60"/>
  </r>
  <r>
    <n v="3417"/>
    <x v="183"/>
    <x v="2"/>
    <x v="185"/>
    <x v="1"/>
    <n v="10"/>
    <x v="0"/>
    <x v="1"/>
    <x v="1"/>
    <x v="0"/>
    <x v="0"/>
    <n v="10"/>
    <n v="20"/>
  </r>
  <r>
    <n v="3418"/>
    <x v="184"/>
    <x v="1"/>
    <x v="186"/>
    <x v="0"/>
    <n v="5"/>
    <x v="2"/>
    <x v="1"/>
    <x v="1"/>
    <x v="1"/>
    <x v="1"/>
    <n v="0"/>
    <n v="5"/>
  </r>
  <r>
    <n v="3419"/>
    <x v="185"/>
    <x v="0"/>
    <x v="187"/>
    <x v="1"/>
    <n v="15"/>
    <x v="0"/>
    <x v="0"/>
    <x v="0"/>
    <x v="0"/>
    <x v="0"/>
    <n v="3"/>
    <n v="62"/>
  </r>
  <r>
    <n v="3420"/>
    <x v="186"/>
    <x v="2"/>
    <x v="188"/>
    <x v="0"/>
    <n v="10"/>
    <x v="1"/>
    <x v="1"/>
    <x v="1"/>
    <x v="0"/>
    <x v="0"/>
    <n v="15"/>
    <n v="15"/>
  </r>
  <r>
    <n v="3421"/>
    <x v="15"/>
    <x v="1"/>
    <x v="189"/>
    <x v="1"/>
    <n v="5"/>
    <x v="0"/>
    <x v="1"/>
    <x v="1"/>
    <x v="1"/>
    <x v="1"/>
    <n v="1"/>
    <n v="4"/>
  </r>
  <r>
    <n v="3422"/>
    <x v="187"/>
    <x v="0"/>
    <x v="190"/>
    <x v="0"/>
    <n v="15"/>
    <x v="2"/>
    <x v="0"/>
    <x v="0"/>
    <x v="0"/>
    <x v="0"/>
    <n v="7"/>
    <n v="58"/>
  </r>
  <r>
    <n v="3423"/>
    <x v="188"/>
    <x v="2"/>
    <x v="191"/>
    <x v="1"/>
    <n v="10"/>
    <x v="0"/>
    <x v="1"/>
    <x v="1"/>
    <x v="0"/>
    <x v="0"/>
    <n v="10"/>
    <n v="20"/>
  </r>
  <r>
    <n v="3424"/>
    <x v="14"/>
    <x v="1"/>
    <x v="192"/>
    <x v="0"/>
    <n v="5"/>
    <x v="1"/>
    <x v="1"/>
    <x v="1"/>
    <x v="1"/>
    <x v="1"/>
    <n v="0"/>
    <n v="5"/>
  </r>
  <r>
    <n v="3425"/>
    <x v="189"/>
    <x v="0"/>
    <x v="193"/>
    <x v="1"/>
    <n v="15"/>
    <x v="0"/>
    <x v="0"/>
    <x v="0"/>
    <x v="0"/>
    <x v="0"/>
    <n v="20"/>
    <n v="45"/>
  </r>
  <r>
    <n v="3426"/>
    <x v="167"/>
    <x v="2"/>
    <x v="194"/>
    <x v="0"/>
    <n v="10"/>
    <x v="2"/>
    <x v="1"/>
    <x v="1"/>
    <x v="0"/>
    <x v="0"/>
    <n v="15"/>
    <n v="15"/>
  </r>
  <r>
    <n v="3427"/>
    <x v="190"/>
    <x v="1"/>
    <x v="195"/>
    <x v="1"/>
    <n v="5"/>
    <x v="0"/>
    <x v="1"/>
    <x v="1"/>
    <x v="1"/>
    <x v="1"/>
    <n v="1"/>
    <n v="4"/>
  </r>
  <r>
    <n v="3428"/>
    <x v="191"/>
    <x v="0"/>
    <x v="196"/>
    <x v="0"/>
    <n v="15"/>
    <x v="1"/>
    <x v="0"/>
    <x v="0"/>
    <x v="0"/>
    <x v="0"/>
    <n v="3"/>
    <n v="62"/>
  </r>
  <r>
    <n v="3429"/>
    <x v="192"/>
    <x v="2"/>
    <x v="197"/>
    <x v="1"/>
    <n v="10"/>
    <x v="0"/>
    <x v="1"/>
    <x v="1"/>
    <x v="0"/>
    <x v="0"/>
    <n v="10"/>
    <n v="20"/>
  </r>
  <r>
    <n v="3430"/>
    <x v="193"/>
    <x v="1"/>
    <x v="198"/>
    <x v="0"/>
    <n v="5"/>
    <x v="2"/>
    <x v="1"/>
    <x v="1"/>
    <x v="1"/>
    <x v="1"/>
    <n v="0"/>
    <n v="5"/>
  </r>
  <r>
    <n v="3431"/>
    <x v="194"/>
    <x v="0"/>
    <x v="199"/>
    <x v="1"/>
    <n v="15"/>
    <x v="0"/>
    <x v="0"/>
    <x v="0"/>
    <x v="0"/>
    <x v="0"/>
    <n v="15"/>
    <n v="50"/>
  </r>
  <r>
    <n v="3432"/>
    <x v="195"/>
    <x v="2"/>
    <x v="200"/>
    <x v="0"/>
    <n v="10"/>
    <x v="1"/>
    <x v="1"/>
    <x v="1"/>
    <x v="0"/>
    <x v="0"/>
    <n v="15"/>
    <n v="15"/>
  </r>
  <r>
    <n v="3433"/>
    <x v="196"/>
    <x v="1"/>
    <x v="201"/>
    <x v="1"/>
    <n v="5"/>
    <x v="0"/>
    <x v="1"/>
    <x v="1"/>
    <x v="1"/>
    <x v="1"/>
    <n v="1"/>
    <n v="4"/>
  </r>
  <r>
    <n v="3434"/>
    <x v="197"/>
    <x v="0"/>
    <x v="202"/>
    <x v="0"/>
    <n v="15"/>
    <x v="2"/>
    <x v="0"/>
    <x v="0"/>
    <x v="0"/>
    <x v="0"/>
    <n v="7"/>
    <n v="58"/>
  </r>
  <r>
    <n v="3435"/>
    <x v="198"/>
    <x v="2"/>
    <x v="203"/>
    <x v="1"/>
    <n v="10"/>
    <x v="0"/>
    <x v="1"/>
    <x v="1"/>
    <x v="0"/>
    <x v="0"/>
    <n v="10"/>
    <n v="20"/>
  </r>
  <r>
    <n v="3436"/>
    <x v="199"/>
    <x v="1"/>
    <x v="204"/>
    <x v="0"/>
    <n v="5"/>
    <x v="0"/>
    <x v="1"/>
    <x v="1"/>
    <x v="1"/>
    <x v="1"/>
    <n v="0"/>
    <n v="5"/>
  </r>
  <r>
    <n v="3437"/>
    <x v="200"/>
    <x v="0"/>
    <x v="205"/>
    <x v="1"/>
    <n v="15"/>
    <x v="2"/>
    <x v="0"/>
    <x v="0"/>
    <x v="0"/>
    <x v="0"/>
    <n v="7"/>
    <n v="58"/>
  </r>
  <r>
    <n v="3438"/>
    <x v="201"/>
    <x v="2"/>
    <x v="206"/>
    <x v="0"/>
    <n v="10"/>
    <x v="1"/>
    <x v="1"/>
    <x v="1"/>
    <x v="0"/>
    <x v="0"/>
    <n v="10"/>
    <n v="20"/>
  </r>
  <r>
    <n v="3439"/>
    <x v="202"/>
    <x v="1"/>
    <x v="207"/>
    <x v="1"/>
    <n v="5"/>
    <x v="2"/>
    <x v="1"/>
    <x v="1"/>
    <x v="1"/>
    <x v="1"/>
    <n v="1"/>
    <n v="4"/>
  </r>
  <r>
    <n v="3440"/>
    <x v="203"/>
    <x v="0"/>
    <x v="208"/>
    <x v="0"/>
    <n v="15"/>
    <x v="0"/>
    <x v="0"/>
    <x v="0"/>
    <x v="0"/>
    <x v="0"/>
    <n v="15"/>
    <n v="50"/>
  </r>
  <r>
    <n v="3441"/>
    <x v="204"/>
    <x v="2"/>
    <x v="209"/>
    <x v="1"/>
    <n v="10"/>
    <x v="0"/>
    <x v="1"/>
    <x v="1"/>
    <x v="0"/>
    <x v="0"/>
    <n v="5"/>
    <n v="25"/>
  </r>
  <r>
    <n v="3442"/>
    <x v="205"/>
    <x v="1"/>
    <x v="210"/>
    <x v="0"/>
    <n v="5"/>
    <x v="1"/>
    <x v="1"/>
    <x v="1"/>
    <x v="1"/>
    <x v="1"/>
    <n v="0"/>
    <n v="5"/>
  </r>
  <r>
    <n v="3443"/>
    <x v="206"/>
    <x v="0"/>
    <x v="211"/>
    <x v="1"/>
    <n v="15"/>
    <x v="2"/>
    <x v="0"/>
    <x v="0"/>
    <x v="0"/>
    <x v="0"/>
    <n v="20"/>
    <n v="45"/>
  </r>
  <r>
    <n v="3444"/>
    <x v="207"/>
    <x v="2"/>
    <x v="212"/>
    <x v="0"/>
    <n v="10"/>
    <x v="2"/>
    <x v="1"/>
    <x v="1"/>
    <x v="0"/>
    <x v="0"/>
    <n v="12"/>
    <n v="18"/>
  </r>
  <r>
    <n v="3445"/>
    <x v="37"/>
    <x v="1"/>
    <x v="213"/>
    <x v="1"/>
    <n v="5"/>
    <x v="0"/>
    <x v="1"/>
    <x v="1"/>
    <x v="1"/>
    <x v="1"/>
    <n v="2"/>
    <n v="3"/>
  </r>
  <r>
    <n v="3446"/>
    <x v="208"/>
    <x v="0"/>
    <x v="214"/>
    <x v="0"/>
    <n v="15"/>
    <x v="1"/>
    <x v="0"/>
    <x v="0"/>
    <x v="0"/>
    <x v="0"/>
    <n v="5"/>
    <n v="60"/>
  </r>
  <r>
    <n v="3447"/>
    <x v="209"/>
    <x v="2"/>
    <x v="215"/>
    <x v="1"/>
    <n v="10"/>
    <x v="0"/>
    <x v="1"/>
    <x v="1"/>
    <x v="0"/>
    <x v="0"/>
    <n v="10"/>
    <n v="20"/>
  </r>
  <r>
    <n v="3448"/>
    <x v="210"/>
    <x v="1"/>
    <x v="216"/>
    <x v="0"/>
    <n v="5"/>
    <x v="2"/>
    <x v="1"/>
    <x v="1"/>
    <x v="1"/>
    <x v="1"/>
    <n v="0"/>
    <n v="5"/>
  </r>
  <r>
    <n v="3449"/>
    <x v="211"/>
    <x v="0"/>
    <x v="217"/>
    <x v="1"/>
    <n v="15"/>
    <x v="0"/>
    <x v="0"/>
    <x v="0"/>
    <x v="0"/>
    <x v="0"/>
    <n v="3"/>
    <n v="62"/>
  </r>
  <r>
    <n v="3450"/>
    <x v="212"/>
    <x v="2"/>
    <x v="218"/>
    <x v="0"/>
    <n v="10"/>
    <x v="1"/>
    <x v="1"/>
    <x v="1"/>
    <x v="0"/>
    <x v="0"/>
    <n v="15"/>
    <n v="15"/>
  </r>
  <r>
    <n v="3451"/>
    <x v="213"/>
    <x v="1"/>
    <x v="219"/>
    <x v="1"/>
    <n v="5"/>
    <x v="0"/>
    <x v="1"/>
    <x v="1"/>
    <x v="1"/>
    <x v="1"/>
    <n v="1"/>
    <n v="4"/>
  </r>
  <r>
    <n v="3452"/>
    <x v="191"/>
    <x v="0"/>
    <x v="220"/>
    <x v="0"/>
    <n v="15"/>
    <x v="2"/>
    <x v="0"/>
    <x v="0"/>
    <x v="0"/>
    <x v="0"/>
    <n v="7"/>
    <n v="58"/>
  </r>
  <r>
    <n v="3453"/>
    <x v="45"/>
    <x v="2"/>
    <x v="221"/>
    <x v="1"/>
    <n v="10"/>
    <x v="0"/>
    <x v="1"/>
    <x v="1"/>
    <x v="0"/>
    <x v="0"/>
    <n v="10"/>
    <n v="20"/>
  </r>
  <r>
    <n v="3454"/>
    <x v="214"/>
    <x v="1"/>
    <x v="222"/>
    <x v="0"/>
    <n v="5"/>
    <x v="1"/>
    <x v="1"/>
    <x v="1"/>
    <x v="1"/>
    <x v="1"/>
    <n v="0"/>
    <n v="5"/>
  </r>
  <r>
    <n v="3455"/>
    <x v="215"/>
    <x v="0"/>
    <x v="223"/>
    <x v="1"/>
    <n v="15"/>
    <x v="0"/>
    <x v="0"/>
    <x v="0"/>
    <x v="0"/>
    <x v="0"/>
    <n v="20"/>
    <n v="45"/>
  </r>
  <r>
    <n v="3456"/>
    <x v="216"/>
    <x v="2"/>
    <x v="224"/>
    <x v="0"/>
    <n v="10"/>
    <x v="2"/>
    <x v="1"/>
    <x v="1"/>
    <x v="0"/>
    <x v="0"/>
    <n v="15"/>
    <n v="15"/>
  </r>
  <r>
    <n v="3457"/>
    <x v="217"/>
    <x v="1"/>
    <x v="225"/>
    <x v="1"/>
    <n v="5"/>
    <x v="0"/>
    <x v="1"/>
    <x v="1"/>
    <x v="1"/>
    <x v="1"/>
    <n v="1"/>
    <n v="4"/>
  </r>
  <r>
    <n v="3458"/>
    <x v="218"/>
    <x v="0"/>
    <x v="226"/>
    <x v="0"/>
    <n v="15"/>
    <x v="1"/>
    <x v="0"/>
    <x v="0"/>
    <x v="0"/>
    <x v="0"/>
    <n v="3"/>
    <n v="62"/>
  </r>
  <r>
    <n v="3459"/>
    <x v="219"/>
    <x v="2"/>
    <x v="227"/>
    <x v="1"/>
    <n v="10"/>
    <x v="0"/>
    <x v="1"/>
    <x v="1"/>
    <x v="0"/>
    <x v="0"/>
    <n v="10"/>
    <n v="20"/>
  </r>
  <r>
    <n v="3460"/>
    <x v="127"/>
    <x v="1"/>
    <x v="228"/>
    <x v="0"/>
    <n v="5"/>
    <x v="2"/>
    <x v="1"/>
    <x v="1"/>
    <x v="1"/>
    <x v="1"/>
    <n v="0"/>
    <n v="5"/>
  </r>
  <r>
    <n v="3461"/>
    <x v="220"/>
    <x v="0"/>
    <x v="229"/>
    <x v="1"/>
    <n v="15"/>
    <x v="0"/>
    <x v="0"/>
    <x v="0"/>
    <x v="0"/>
    <x v="0"/>
    <n v="15"/>
    <n v="50"/>
  </r>
  <r>
    <n v="3462"/>
    <x v="221"/>
    <x v="2"/>
    <x v="230"/>
    <x v="0"/>
    <n v="10"/>
    <x v="1"/>
    <x v="1"/>
    <x v="1"/>
    <x v="0"/>
    <x v="0"/>
    <n v="15"/>
    <n v="15"/>
  </r>
  <r>
    <n v="3463"/>
    <x v="222"/>
    <x v="1"/>
    <x v="231"/>
    <x v="1"/>
    <n v="5"/>
    <x v="0"/>
    <x v="1"/>
    <x v="1"/>
    <x v="1"/>
    <x v="1"/>
    <n v="1"/>
    <n v="4"/>
  </r>
  <r>
    <n v="3464"/>
    <x v="223"/>
    <x v="0"/>
    <x v="232"/>
    <x v="0"/>
    <n v="15"/>
    <x v="2"/>
    <x v="0"/>
    <x v="0"/>
    <x v="0"/>
    <x v="0"/>
    <n v="7"/>
    <n v="58"/>
  </r>
  <r>
    <n v="3465"/>
    <x v="224"/>
    <x v="2"/>
    <x v="233"/>
    <x v="1"/>
    <n v="10"/>
    <x v="0"/>
    <x v="1"/>
    <x v="1"/>
    <x v="0"/>
    <x v="0"/>
    <n v="10"/>
    <n v="20"/>
  </r>
  <r>
    <n v="3466"/>
    <x v="225"/>
    <x v="1"/>
    <x v="234"/>
    <x v="0"/>
    <n v="5"/>
    <x v="1"/>
    <x v="1"/>
    <x v="1"/>
    <x v="1"/>
    <x v="1"/>
    <n v="0"/>
    <n v="5"/>
  </r>
  <r>
    <n v="3467"/>
    <x v="226"/>
    <x v="0"/>
    <x v="235"/>
    <x v="1"/>
    <n v="15"/>
    <x v="0"/>
    <x v="0"/>
    <x v="0"/>
    <x v="0"/>
    <x v="0"/>
    <n v="15"/>
    <n v="50"/>
  </r>
  <r>
    <n v="3468"/>
    <x v="227"/>
    <x v="2"/>
    <x v="236"/>
    <x v="0"/>
    <n v="10"/>
    <x v="2"/>
    <x v="1"/>
    <x v="1"/>
    <x v="0"/>
    <x v="0"/>
    <n v="12"/>
    <n v="18"/>
  </r>
  <r>
    <n v="3469"/>
    <x v="228"/>
    <x v="1"/>
    <x v="237"/>
    <x v="1"/>
    <n v="5"/>
    <x v="0"/>
    <x v="1"/>
    <x v="1"/>
    <x v="1"/>
    <x v="1"/>
    <n v="2"/>
    <n v="3"/>
  </r>
  <r>
    <n v="3470"/>
    <x v="229"/>
    <x v="0"/>
    <x v="238"/>
    <x v="0"/>
    <n v="15"/>
    <x v="1"/>
    <x v="0"/>
    <x v="0"/>
    <x v="0"/>
    <x v="0"/>
    <n v="5"/>
    <n v="60"/>
  </r>
  <r>
    <n v="3471"/>
    <x v="230"/>
    <x v="2"/>
    <x v="239"/>
    <x v="1"/>
    <n v="10"/>
    <x v="0"/>
    <x v="1"/>
    <x v="1"/>
    <x v="0"/>
    <x v="0"/>
    <n v="10"/>
    <n v="20"/>
  </r>
  <r>
    <n v="3472"/>
    <x v="231"/>
    <x v="1"/>
    <x v="240"/>
    <x v="0"/>
    <n v="5"/>
    <x v="2"/>
    <x v="1"/>
    <x v="1"/>
    <x v="1"/>
    <x v="1"/>
    <n v="0"/>
    <n v="5"/>
  </r>
  <r>
    <n v="3473"/>
    <x v="140"/>
    <x v="0"/>
    <x v="241"/>
    <x v="1"/>
    <n v="15"/>
    <x v="0"/>
    <x v="0"/>
    <x v="0"/>
    <x v="0"/>
    <x v="0"/>
    <n v="3"/>
    <n v="62"/>
  </r>
  <r>
    <n v="3474"/>
    <x v="232"/>
    <x v="2"/>
    <x v="242"/>
    <x v="0"/>
    <n v="10"/>
    <x v="1"/>
    <x v="1"/>
    <x v="1"/>
    <x v="0"/>
    <x v="0"/>
    <n v="15"/>
    <n v="15"/>
  </r>
  <r>
    <n v="3475"/>
    <x v="233"/>
    <x v="1"/>
    <x v="243"/>
    <x v="1"/>
    <n v="5"/>
    <x v="0"/>
    <x v="1"/>
    <x v="1"/>
    <x v="1"/>
    <x v="1"/>
    <n v="1"/>
    <n v="4"/>
  </r>
  <r>
    <n v="3476"/>
    <x v="234"/>
    <x v="0"/>
    <x v="244"/>
    <x v="0"/>
    <n v="15"/>
    <x v="2"/>
    <x v="0"/>
    <x v="0"/>
    <x v="0"/>
    <x v="0"/>
    <n v="7"/>
    <n v="58"/>
  </r>
  <r>
    <n v="3477"/>
    <x v="235"/>
    <x v="2"/>
    <x v="245"/>
    <x v="1"/>
    <n v="10"/>
    <x v="0"/>
    <x v="1"/>
    <x v="1"/>
    <x v="0"/>
    <x v="0"/>
    <n v="10"/>
    <n v="20"/>
  </r>
  <r>
    <n v="3478"/>
    <x v="236"/>
    <x v="1"/>
    <x v="246"/>
    <x v="0"/>
    <n v="5"/>
    <x v="1"/>
    <x v="1"/>
    <x v="1"/>
    <x v="1"/>
    <x v="1"/>
    <n v="0"/>
    <n v="5"/>
  </r>
  <r>
    <n v="3479"/>
    <x v="237"/>
    <x v="0"/>
    <x v="247"/>
    <x v="1"/>
    <n v="15"/>
    <x v="0"/>
    <x v="0"/>
    <x v="0"/>
    <x v="0"/>
    <x v="0"/>
    <n v="20"/>
    <n v="45"/>
  </r>
  <r>
    <n v="3480"/>
    <x v="238"/>
    <x v="2"/>
    <x v="248"/>
    <x v="0"/>
    <n v="10"/>
    <x v="2"/>
    <x v="1"/>
    <x v="1"/>
    <x v="0"/>
    <x v="0"/>
    <n v="15"/>
    <n v="15"/>
  </r>
  <r>
    <n v="3481"/>
    <x v="239"/>
    <x v="1"/>
    <x v="249"/>
    <x v="1"/>
    <n v="5"/>
    <x v="0"/>
    <x v="1"/>
    <x v="1"/>
    <x v="1"/>
    <x v="1"/>
    <n v="1"/>
    <n v="4"/>
  </r>
  <r>
    <n v="3482"/>
    <x v="240"/>
    <x v="0"/>
    <x v="250"/>
    <x v="0"/>
    <n v="15"/>
    <x v="1"/>
    <x v="0"/>
    <x v="0"/>
    <x v="0"/>
    <x v="0"/>
    <n v="3"/>
    <n v="62"/>
  </r>
  <r>
    <n v="3483"/>
    <x v="241"/>
    <x v="2"/>
    <x v="251"/>
    <x v="1"/>
    <n v="10"/>
    <x v="0"/>
    <x v="1"/>
    <x v="1"/>
    <x v="0"/>
    <x v="0"/>
    <n v="10"/>
    <n v="20"/>
  </r>
  <r>
    <n v="3484"/>
    <x v="242"/>
    <x v="1"/>
    <x v="252"/>
    <x v="0"/>
    <n v="5"/>
    <x v="2"/>
    <x v="1"/>
    <x v="1"/>
    <x v="1"/>
    <x v="1"/>
    <n v="0"/>
    <n v="5"/>
  </r>
  <r>
    <n v="3485"/>
    <x v="243"/>
    <x v="0"/>
    <x v="253"/>
    <x v="1"/>
    <n v="15"/>
    <x v="0"/>
    <x v="0"/>
    <x v="0"/>
    <x v="0"/>
    <x v="0"/>
    <n v="15"/>
    <n v="50"/>
  </r>
  <r>
    <n v="3486"/>
    <x v="244"/>
    <x v="1"/>
    <x v="254"/>
    <x v="0"/>
    <n v="5"/>
    <x v="0"/>
    <x v="1"/>
    <x v="1"/>
    <x v="1"/>
    <x v="1"/>
    <n v="0"/>
    <n v="5"/>
  </r>
  <r>
    <n v="3487"/>
    <x v="245"/>
    <x v="0"/>
    <x v="255"/>
    <x v="1"/>
    <n v="15"/>
    <x v="2"/>
    <x v="0"/>
    <x v="0"/>
    <x v="0"/>
    <x v="0"/>
    <n v="7"/>
    <n v="58"/>
  </r>
  <r>
    <n v="3488"/>
    <x v="246"/>
    <x v="2"/>
    <x v="256"/>
    <x v="0"/>
    <n v="10"/>
    <x v="1"/>
    <x v="1"/>
    <x v="1"/>
    <x v="0"/>
    <x v="0"/>
    <n v="10"/>
    <n v="20"/>
  </r>
  <r>
    <n v="3489"/>
    <x v="247"/>
    <x v="1"/>
    <x v="257"/>
    <x v="1"/>
    <n v="5"/>
    <x v="2"/>
    <x v="1"/>
    <x v="1"/>
    <x v="1"/>
    <x v="1"/>
    <n v="1"/>
    <n v="4"/>
  </r>
  <r>
    <n v="3490"/>
    <x v="248"/>
    <x v="0"/>
    <x v="258"/>
    <x v="0"/>
    <n v="15"/>
    <x v="0"/>
    <x v="0"/>
    <x v="0"/>
    <x v="0"/>
    <x v="0"/>
    <n v="15"/>
    <n v="50"/>
  </r>
  <r>
    <n v="3491"/>
    <x v="249"/>
    <x v="2"/>
    <x v="259"/>
    <x v="1"/>
    <n v="10"/>
    <x v="0"/>
    <x v="1"/>
    <x v="1"/>
    <x v="0"/>
    <x v="0"/>
    <n v="5"/>
    <n v="25"/>
  </r>
  <r>
    <n v="3492"/>
    <x v="250"/>
    <x v="1"/>
    <x v="260"/>
    <x v="0"/>
    <n v="5"/>
    <x v="1"/>
    <x v="1"/>
    <x v="1"/>
    <x v="1"/>
    <x v="1"/>
    <n v="0"/>
    <n v="5"/>
  </r>
  <r>
    <n v="3493"/>
    <x v="251"/>
    <x v="0"/>
    <x v="261"/>
    <x v="1"/>
    <n v="15"/>
    <x v="2"/>
    <x v="0"/>
    <x v="0"/>
    <x v="0"/>
    <x v="0"/>
    <n v="20"/>
    <n v="45"/>
  </r>
  <r>
    <n v="3494"/>
    <x v="252"/>
    <x v="2"/>
    <x v="262"/>
    <x v="0"/>
    <n v="10"/>
    <x v="2"/>
    <x v="1"/>
    <x v="1"/>
    <x v="0"/>
    <x v="0"/>
    <n v="12"/>
    <n v="18"/>
  </r>
  <r>
    <n v="3495"/>
    <x v="253"/>
    <x v="1"/>
    <x v="263"/>
    <x v="1"/>
    <n v="5"/>
    <x v="0"/>
    <x v="1"/>
    <x v="1"/>
    <x v="1"/>
    <x v="1"/>
    <n v="2"/>
    <n v="3"/>
  </r>
  <r>
    <n v="3496"/>
    <x v="254"/>
    <x v="0"/>
    <x v="264"/>
    <x v="0"/>
    <n v="15"/>
    <x v="1"/>
    <x v="0"/>
    <x v="0"/>
    <x v="0"/>
    <x v="0"/>
    <n v="5"/>
    <n v="60"/>
  </r>
  <r>
    <n v="3497"/>
    <x v="255"/>
    <x v="2"/>
    <x v="265"/>
    <x v="1"/>
    <n v="10"/>
    <x v="0"/>
    <x v="1"/>
    <x v="1"/>
    <x v="0"/>
    <x v="0"/>
    <n v="10"/>
    <n v="20"/>
  </r>
  <r>
    <n v="3498"/>
    <x v="256"/>
    <x v="1"/>
    <x v="266"/>
    <x v="0"/>
    <n v="5"/>
    <x v="2"/>
    <x v="1"/>
    <x v="1"/>
    <x v="1"/>
    <x v="1"/>
    <n v="0"/>
    <n v="5"/>
  </r>
  <r>
    <n v="3499"/>
    <x v="257"/>
    <x v="0"/>
    <x v="267"/>
    <x v="1"/>
    <n v="15"/>
    <x v="0"/>
    <x v="0"/>
    <x v="0"/>
    <x v="0"/>
    <x v="0"/>
    <n v="3"/>
    <n v="62"/>
  </r>
  <r>
    <n v="3500"/>
    <x v="258"/>
    <x v="2"/>
    <x v="268"/>
    <x v="0"/>
    <n v="10"/>
    <x v="1"/>
    <x v="1"/>
    <x v="1"/>
    <x v="0"/>
    <x v="0"/>
    <n v="15"/>
    <n v="15"/>
  </r>
  <r>
    <n v="3501"/>
    <x v="259"/>
    <x v="1"/>
    <x v="269"/>
    <x v="1"/>
    <n v="5"/>
    <x v="0"/>
    <x v="1"/>
    <x v="1"/>
    <x v="1"/>
    <x v="1"/>
    <n v="1"/>
    <n v="4"/>
  </r>
  <r>
    <n v="3502"/>
    <x v="260"/>
    <x v="0"/>
    <x v="270"/>
    <x v="0"/>
    <n v="15"/>
    <x v="2"/>
    <x v="0"/>
    <x v="0"/>
    <x v="0"/>
    <x v="0"/>
    <n v="7"/>
    <n v="58"/>
  </r>
  <r>
    <n v="3503"/>
    <x v="119"/>
    <x v="2"/>
    <x v="271"/>
    <x v="1"/>
    <n v="10"/>
    <x v="0"/>
    <x v="1"/>
    <x v="1"/>
    <x v="0"/>
    <x v="0"/>
    <n v="10"/>
    <n v="20"/>
  </r>
  <r>
    <n v="3504"/>
    <x v="261"/>
    <x v="1"/>
    <x v="272"/>
    <x v="0"/>
    <n v="5"/>
    <x v="1"/>
    <x v="1"/>
    <x v="1"/>
    <x v="1"/>
    <x v="1"/>
    <n v="0"/>
    <n v="5"/>
  </r>
  <r>
    <n v="3505"/>
    <x v="262"/>
    <x v="0"/>
    <x v="273"/>
    <x v="1"/>
    <n v="15"/>
    <x v="0"/>
    <x v="0"/>
    <x v="0"/>
    <x v="0"/>
    <x v="0"/>
    <n v="20"/>
    <n v="45"/>
  </r>
  <r>
    <n v="3506"/>
    <x v="263"/>
    <x v="2"/>
    <x v="274"/>
    <x v="0"/>
    <n v="10"/>
    <x v="2"/>
    <x v="1"/>
    <x v="1"/>
    <x v="0"/>
    <x v="0"/>
    <n v="15"/>
    <n v="15"/>
  </r>
  <r>
    <n v="3507"/>
    <x v="264"/>
    <x v="1"/>
    <x v="275"/>
    <x v="1"/>
    <n v="5"/>
    <x v="0"/>
    <x v="1"/>
    <x v="1"/>
    <x v="1"/>
    <x v="1"/>
    <n v="1"/>
    <n v="4"/>
  </r>
  <r>
    <n v="3508"/>
    <x v="265"/>
    <x v="0"/>
    <x v="276"/>
    <x v="0"/>
    <n v="15"/>
    <x v="1"/>
    <x v="0"/>
    <x v="0"/>
    <x v="0"/>
    <x v="0"/>
    <n v="3"/>
    <n v="62"/>
  </r>
  <r>
    <n v="3509"/>
    <x v="266"/>
    <x v="2"/>
    <x v="277"/>
    <x v="1"/>
    <n v="10"/>
    <x v="0"/>
    <x v="1"/>
    <x v="1"/>
    <x v="0"/>
    <x v="0"/>
    <n v="10"/>
    <n v="20"/>
  </r>
  <r>
    <n v="3510"/>
    <x v="267"/>
    <x v="1"/>
    <x v="278"/>
    <x v="0"/>
    <n v="5"/>
    <x v="2"/>
    <x v="1"/>
    <x v="1"/>
    <x v="1"/>
    <x v="1"/>
    <n v="0"/>
    <n v="5"/>
  </r>
  <r>
    <n v="3511"/>
    <x v="268"/>
    <x v="0"/>
    <x v="279"/>
    <x v="1"/>
    <n v="15"/>
    <x v="0"/>
    <x v="0"/>
    <x v="0"/>
    <x v="0"/>
    <x v="0"/>
    <n v="15"/>
    <n v="50"/>
  </r>
  <r>
    <n v="3512"/>
    <x v="269"/>
    <x v="2"/>
    <x v="280"/>
    <x v="0"/>
    <n v="10"/>
    <x v="1"/>
    <x v="1"/>
    <x v="1"/>
    <x v="0"/>
    <x v="0"/>
    <n v="15"/>
    <n v="15"/>
  </r>
  <r>
    <n v="3513"/>
    <x v="270"/>
    <x v="1"/>
    <x v="281"/>
    <x v="1"/>
    <n v="5"/>
    <x v="0"/>
    <x v="1"/>
    <x v="1"/>
    <x v="1"/>
    <x v="1"/>
    <n v="1"/>
    <n v="4"/>
  </r>
  <r>
    <n v="3514"/>
    <x v="271"/>
    <x v="0"/>
    <x v="282"/>
    <x v="0"/>
    <n v="15"/>
    <x v="2"/>
    <x v="0"/>
    <x v="0"/>
    <x v="0"/>
    <x v="0"/>
    <n v="7"/>
    <n v="58"/>
  </r>
  <r>
    <n v="3515"/>
    <x v="130"/>
    <x v="2"/>
    <x v="283"/>
    <x v="1"/>
    <n v="10"/>
    <x v="0"/>
    <x v="1"/>
    <x v="1"/>
    <x v="0"/>
    <x v="0"/>
    <n v="10"/>
    <n v="20"/>
  </r>
  <r>
    <n v="3516"/>
    <x v="131"/>
    <x v="1"/>
    <x v="284"/>
    <x v="0"/>
    <n v="5"/>
    <x v="1"/>
    <x v="1"/>
    <x v="1"/>
    <x v="1"/>
    <x v="1"/>
    <n v="0"/>
    <n v="5"/>
  </r>
  <r>
    <n v="3517"/>
    <x v="181"/>
    <x v="0"/>
    <x v="285"/>
    <x v="1"/>
    <n v="15"/>
    <x v="0"/>
    <x v="0"/>
    <x v="0"/>
    <x v="0"/>
    <x v="0"/>
    <n v="20"/>
    <n v="45"/>
  </r>
  <r>
    <n v="3518"/>
    <x v="272"/>
    <x v="2"/>
    <x v="286"/>
    <x v="0"/>
    <n v="10"/>
    <x v="2"/>
    <x v="1"/>
    <x v="1"/>
    <x v="0"/>
    <x v="0"/>
    <n v="12"/>
    <n v="18"/>
  </r>
  <r>
    <n v="3519"/>
    <x v="273"/>
    <x v="1"/>
    <x v="287"/>
    <x v="1"/>
    <n v="5"/>
    <x v="0"/>
    <x v="1"/>
    <x v="1"/>
    <x v="1"/>
    <x v="1"/>
    <n v="2"/>
    <n v="3"/>
  </r>
  <r>
    <n v="3520"/>
    <x v="274"/>
    <x v="0"/>
    <x v="288"/>
    <x v="0"/>
    <n v="15"/>
    <x v="1"/>
    <x v="0"/>
    <x v="0"/>
    <x v="0"/>
    <x v="0"/>
    <n v="5"/>
    <n v="60"/>
  </r>
  <r>
    <n v="3521"/>
    <x v="275"/>
    <x v="2"/>
    <x v="289"/>
    <x v="1"/>
    <n v="10"/>
    <x v="0"/>
    <x v="1"/>
    <x v="1"/>
    <x v="0"/>
    <x v="0"/>
    <n v="10"/>
    <n v="20"/>
  </r>
  <r>
    <n v="3522"/>
    <x v="276"/>
    <x v="1"/>
    <x v="290"/>
    <x v="0"/>
    <n v="5"/>
    <x v="2"/>
    <x v="1"/>
    <x v="1"/>
    <x v="1"/>
    <x v="1"/>
    <n v="0"/>
    <n v="5"/>
  </r>
  <r>
    <n v="3523"/>
    <x v="277"/>
    <x v="0"/>
    <x v="291"/>
    <x v="1"/>
    <n v="15"/>
    <x v="0"/>
    <x v="0"/>
    <x v="0"/>
    <x v="0"/>
    <x v="0"/>
    <n v="3"/>
    <n v="62"/>
  </r>
  <r>
    <n v="3524"/>
    <x v="278"/>
    <x v="2"/>
    <x v="292"/>
    <x v="0"/>
    <n v="10"/>
    <x v="1"/>
    <x v="1"/>
    <x v="1"/>
    <x v="0"/>
    <x v="0"/>
    <n v="15"/>
    <n v="15"/>
  </r>
  <r>
    <n v="3525"/>
    <x v="279"/>
    <x v="1"/>
    <x v="293"/>
    <x v="1"/>
    <n v="5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9161F-2691-4E01-ADEA-837DAB5B5E90}" name="Tabela dinâ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F70:H71" firstHeaderRow="0" firstDataRow="1" firstDataCol="0" rowPageCount="4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dataField="1" numFmtId="44" showAll="0"/>
    <pivotField dataField="1" numFmtId="44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4">
    <pageField fld="13" hier="-1"/>
    <pageField fld="4" hier="-1"/>
    <pageField fld="6" hier="-1"/>
    <pageField fld="2" hier="-1"/>
  </pageFields>
  <dataFields count="3">
    <dataField name="Subscriptions" fld="0" subtotal="count" baseField="0" baseItem="0"/>
    <dataField name="Soma de Total Value" fld="12" baseField="0" baseItem="0" numFmtId="167"/>
    <dataField name="Soma de Coupon Value" fld="11" baseField="0" baseItem="0" numFmtId="167"/>
  </dataFields>
  <formats count="5">
    <format dxfId="316">
      <pivotArea outline="0" collapsedLevelsAreSubtotals="1" fieldPosition="0"/>
    </format>
    <format dxfId="317">
      <pivotArea collapsedLevelsAreSubtotals="1" fieldPosition="0">
        <references count="1">
          <reference field="2" count="0"/>
        </references>
      </pivotArea>
    </format>
    <format dxfId="318">
      <pivotArea outline="0" fieldPosition="0">
        <references count="1">
          <reference field="4294967294" count="1">
            <x v="0"/>
          </reference>
        </references>
      </pivotArea>
    </format>
    <format dxfId="3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1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1EC3C-6AAB-4794-B5D3-DD08529CA182}" name="Tabela dinâ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F62:G63" firstHeaderRow="0" firstDataRow="1" firstDataCol="0" rowPageCount="4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dataField="1"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4">
    <pageField fld="13" hier="-1"/>
    <pageField fld="4" hier="-1"/>
    <pageField fld="6" hier="-1"/>
    <pageField fld="2" hier="-1"/>
  </pageFields>
  <dataFields count="2">
    <dataField name="Subscriptions" fld="0" subtotal="count" baseField="0" baseItem="0"/>
    <dataField name="Soma de Subscription Price" fld="5" baseField="0" baseItem="0" numFmtId="167"/>
  </dataFields>
  <formats count="4">
    <format dxfId="312">
      <pivotArea outline="0" collapsedLevelsAreSubtotals="1" fieldPosition="0"/>
    </format>
    <format dxfId="313">
      <pivotArea collapsedLevelsAreSubtotals="1" fieldPosition="0">
        <references count="1">
          <reference field="2" count="0"/>
        </references>
      </pivotArea>
    </format>
    <format dxfId="314">
      <pivotArea outline="0" fieldPosition="0">
        <references count="1">
          <reference field="4294967294" count="1">
            <x v="0"/>
          </reference>
        </references>
      </pivotArea>
    </format>
    <format dxfId="3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1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8396-F44E-45D9-B32D-2E0672A0AD18}" name="Tabela dinâ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B70:D73" firstHeaderRow="0" firstDataRow="1" firstDataCol="1" rowPageCount="4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4">
    <pageField fld="13" hier="-1"/>
    <pageField fld="4" hier="-1"/>
    <pageField fld="6" hier="-1"/>
    <pageField fld="2" hier="-1"/>
  </pageFields>
  <dataFields count="2">
    <dataField name="Subscriptions" fld="0" subtotal="count" baseField="0" baseItem="0"/>
    <dataField name="Soma de EA Play Season Pass_x000a_Price" fld="8" baseField="0" baseItem="0"/>
  </dataFields>
  <formats count="4">
    <format dxfId="308">
      <pivotArea outline="0" collapsedLevelsAreSubtotals="1" fieldPosition="0"/>
    </format>
    <format dxfId="309">
      <pivotArea collapsedLevelsAreSubtotals="1" fieldPosition="0">
        <references count="1">
          <reference field="2" count="0"/>
        </references>
      </pivotArea>
    </format>
    <format dxfId="310">
      <pivotArea outline="0" fieldPosition="0">
        <references count="1">
          <reference field="4294967294" count="1">
            <x v="0"/>
          </reference>
        </references>
      </pivotArea>
    </format>
    <format dxfId="3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1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0598F-364D-4228-BAA0-92660E5C3A96}" name="Tabela dinâ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B60:D63" firstHeaderRow="0" firstDataRow="1" firstDataCol="1" rowPageCount="4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numFmtId="44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4">
    <pageField fld="13" hier="-1"/>
    <pageField fld="4" hier="-1"/>
    <pageField fld="6" hier="-1"/>
    <pageField fld="2" hier="-1"/>
  </pageFields>
  <dataFields count="2">
    <dataField name="Subscriptions" fld="0" subtotal="count" baseField="0" baseItem="0"/>
    <dataField name="Soma de Minecraft Season Pass Price" fld="10" baseField="0" baseItem="0" numFmtId="167"/>
  </dataFields>
  <formats count="4">
    <format dxfId="304">
      <pivotArea outline="0" collapsedLevelsAreSubtotals="1" fieldPosition="0"/>
    </format>
    <format dxfId="305">
      <pivotArea collapsedLevelsAreSubtotals="1" fieldPosition="0">
        <references count="1">
          <reference field="2" count="0"/>
        </references>
      </pivotArea>
    </format>
    <format dxfId="306">
      <pivotArea outline="0" fieldPosition="0">
        <references count="1">
          <reference field="4294967294" count="1">
            <x v="0"/>
          </reference>
        </references>
      </pivotArea>
    </format>
    <format dxfId="30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1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AE5F0-2E77-4B36-BCA8-B9838FA638DC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B43:C47" firstHeaderRow="1" firstDataRow="1" firstDataCol="1" rowPageCount="3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13" hier="-1"/>
    <pageField fld="4" hier="-1"/>
    <pageField fld="6" hier="-1"/>
  </pageFields>
  <dataFields count="1">
    <dataField name="Subscriptions" fld="0" subtotal="count" showDataAs="percentOfTotal" baseField="0" baseItem="0" numFmtId="9"/>
  </dataFields>
  <formats count="2">
    <format dxfId="302">
      <pivotArea outline="0" collapsedLevelsAreSubtotals="1" fieldPosition="0"/>
    </format>
    <format dxfId="303">
      <pivotArea collapsedLevelsAreSubtotals="1" fieldPosition="0">
        <references count="1">
          <reference field="2" count="0"/>
        </references>
      </pivotArea>
    </format>
  </formats>
  <chartFormats count="7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E4BF5-4A35-413C-9839-7ED3A8E96130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F11:G12" firstHeaderRow="0" firstDataRow="1" firstDataCol="0" rowPageCount="3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3">
    <pageField fld="4" hier="-1"/>
    <pageField fld="6" hier="-1"/>
    <pageField fld="2" hier="-1"/>
  </pageFields>
  <dataFields count="2">
    <dataField name="Subscriptions" fld="0" subtotal="count" baseField="0" baseItem="0"/>
    <dataField name="Revenue" fld="12" baseField="0" baseItem="0" numFmtId="44"/>
  </dataFields>
  <formats count="1">
    <format dxfId="3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F5308-A9DB-4741-9F00-AFAC8EE9A94F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31:D34" firstHeaderRow="0" firstDataRow="1" firstDataCol="1" rowPageCount="3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-1"/>
    <pageField fld="13" hier="-1"/>
    <pageField fld="6" hier="-1"/>
  </pageFields>
  <dataFields count="2">
    <dataField name="Subscriptions" fld="0" subtotal="count" baseField="0" baseItem="0"/>
    <dataField name="Revenue" fld="12" baseField="0" baseItem="0" numFmtId="44"/>
  </dataFields>
  <formats count="2">
    <format dxfId="2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0">
      <pivotArea collapsedLevelsAreSubtotals="1" fieldPosition="0">
        <references count="2">
          <reference field="4294967294" count="1" selected="0">
            <x v="1"/>
          </reference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6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1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histórico mensal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11:D24" firstHeaderRow="0" firstDataRow="1" firstDataCol="1" rowPageCount="3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-1"/>
    <pageField fld="6" hier="-1"/>
    <pageField fld="2" hier="-1"/>
  </pageFields>
  <dataFields count="2">
    <dataField name="Subscriptions" fld="0" subtotal="count" baseField="0" baseItem="0"/>
    <dataField name="Revenue" fld="12" baseField="0" baseItem="0" numFmtId="44"/>
  </dataFields>
  <formats count="2">
    <format dxfId="39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5">
      <pivotArea collapsedLevelsAreSubtotals="1" fieldPosition="0">
        <references count="2">
          <reference field="4294967294" count="1" selected="0">
            <x v="1"/>
          </reference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6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1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9B7CF-D8D3-4745-B8D7-749C880C2E61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G31:I35" firstHeaderRow="0" firstDataRow="1" firstDataCol="1" rowPageCount="3" colPageCount="1"/>
  <pivotFields count="14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-1"/>
    <pageField fld="13" hier="-1"/>
    <pageField fld="4" hier="-1"/>
  </pageFields>
  <dataFields count="2">
    <dataField name="Subscriptions" fld="0" subtotal="count" baseField="0" baseItem="0"/>
    <dataField name="Revenue" fld="12" baseField="0" baseItem="0" numFmtId="44"/>
  </dataFields>
  <formats count="2">
    <format dxfId="2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8">
      <pivotArea collapsedLevelsAreSubtotals="1" fieldPosition="0">
        <references count="2">
          <reference field="4294967294" count="1" selected="0">
            <x v="1"/>
          </reference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6"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1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histórico mensal"/>
    <pivotTable tabId="3" name="Tabela dinâmica1"/>
    <pivotTable tabId="3" name="Tabela dinâmica2"/>
    <pivotTable tabId="3" name="Tabela dinâmica3"/>
    <pivotTable tabId="3" name="Tabela dinâmica4"/>
    <pivotTable tabId="3" name="Tabela dinâmica5"/>
    <pivotTable tabId="3" name="Tabela dinâmica6"/>
    <pivotTable tabId="3" name="Tabela dinâmica7"/>
    <pivotTable tabId="3" name="Tabela dinâmica8"/>
  </pivotTables>
  <data>
    <tabular pivotCacheId="176595658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1F96E0FA-E7CD-4747-BB8E-34445BF3BBEF}" sourceName="Meses (Start Date)">
  <pivotTables>
    <pivotTable tabId="3" name="Tabela dinâmica1"/>
    <pivotTable tabId="3" name="Tabela dinâmica2"/>
    <pivotTable tabId="3" name="Tabela dinâmica3"/>
    <pivotTable tabId="3" name="Tabela dinâmica4"/>
    <pivotTable tabId="3" name="Tabela dinâmica5"/>
    <pivotTable tabId="3" name="Tabela dinâmica6"/>
    <pivotTable tabId="3" name="Tabela dinâmica7"/>
    <pivotTable tabId="3" name="Tabela dinâmica8"/>
  </pivotTables>
  <data>
    <tabular pivotCacheId="1765956580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  <slicer name="Meses (Start Date)" xr10:uid="{3247F31E-FBB3-4AFA-ADD8-099E0AB96189}" cache="SegmentaçãodeDados_Meses__Start_Date" caption="Start Date" columnCount="3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10">
  <autoFilter ref="A1:M296" xr:uid="{34E0E886-4200-4B36-97B3-63DB74FF40A0}"/>
  <tableColumns count="13">
    <tableColumn id="1" xr3:uid="{C4A90516-688A-46BF-9167-EA16C2A8A652}" name="Subscriber ID" dataDxfId="409"/>
    <tableColumn id="2" xr3:uid="{53DD39D0-2220-4121-9E9D-4EAA7E151C0F}" name="Name" dataDxfId="408"/>
    <tableColumn id="3" xr3:uid="{4F5FF271-4C57-4BE0-8F2C-F82C8551625C}" name="Plan" dataDxfId="407"/>
    <tableColumn id="4" xr3:uid="{8C17EB93-79B9-4E55-B8F7-BEB82F8253E9}" name="Start Date" dataDxfId="406"/>
    <tableColumn id="5" xr3:uid="{48CEDF9B-1689-482A-A828-5CCE7713264A}" name="Auto Renewal" dataDxfId="405"/>
    <tableColumn id="6" xr3:uid="{78B82374-9AA7-4E38-AE4F-78CDE6C83720}" name="Subscription Price" dataDxfId="404" dataCellStyle="Moeda"/>
    <tableColumn id="7" xr3:uid="{F2433F68-AF33-49D0-B1FB-19A396074EDE}" name="Subscription Type" dataDxfId="403"/>
    <tableColumn id="8" xr3:uid="{FD4D9C95-F6E5-4933-9068-A71FF7DF9343}" name="EA Play Season Pass" dataDxfId="402"/>
    <tableColumn id="13" xr3:uid="{978DD0D2-834E-4CE4-A39B-30976086932F}" name="EA Play Season Pass_x000a_Price" dataDxfId="401" dataCellStyle="Moeda"/>
    <tableColumn id="9" xr3:uid="{6E29F111-C395-4580-9DAD-3407D9E8B1A4}" name="Minecraft Season Pass" dataDxfId="400"/>
    <tableColumn id="10" xr3:uid="{EF544EAA-7F25-4FD5-A10E-8E62804DB9E3}" name="Minecraft Season Pass Price" dataDxfId="399" dataCellStyle="Moeda"/>
    <tableColumn id="11" xr3:uid="{7F6EB64A-1F07-4E48-9F0F-AC7D9DCD26F8}" name="Coupon Value" dataDxfId="398" dataCellStyle="Vírgula"/>
    <tableColumn id="12" xr3:uid="{2B04ABC8-DE6F-426E-ADC0-D8AFC68CA58E}" name="Total Value" dataDxfId="39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26" t="s">
        <v>343</v>
      </c>
      <c r="C7" t="s">
        <v>8</v>
      </c>
    </row>
    <row r="8" spans="2:16" x14ac:dyDescent="0.25">
      <c r="B8" s="5" t="s">
        <v>4</v>
      </c>
      <c r="C8" t="s">
        <v>9</v>
      </c>
    </row>
    <row r="9" spans="2:16" x14ac:dyDescent="0.25">
      <c r="B9" s="6" t="s">
        <v>5</v>
      </c>
      <c r="C9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1" sqref="F1:F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style="29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314</v>
      </c>
      <c r="G1" s="9" t="s">
        <v>16</v>
      </c>
      <c r="H1" s="9" t="s">
        <v>311</v>
      </c>
      <c r="I1" s="9" t="s">
        <v>312</v>
      </c>
      <c r="J1" s="9" t="s">
        <v>30</v>
      </c>
      <c r="K1" s="9" t="s">
        <v>31</v>
      </c>
      <c r="L1" s="27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28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313</v>
      </c>
      <c r="J3" s="8" t="s">
        <v>23</v>
      </c>
      <c r="K3" s="11">
        <v>0</v>
      </c>
      <c r="L3" s="28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313</v>
      </c>
      <c r="J4" s="8" t="s">
        <v>19</v>
      </c>
      <c r="K4" s="11">
        <v>20</v>
      </c>
      <c r="L4" s="28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28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313</v>
      </c>
      <c r="J6" s="8" t="s">
        <v>23</v>
      </c>
      <c r="K6" s="11">
        <v>0</v>
      </c>
      <c r="L6" s="28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313</v>
      </c>
      <c r="J7" s="8" t="s">
        <v>19</v>
      </c>
      <c r="K7" s="11">
        <v>20</v>
      </c>
      <c r="L7" s="28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28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313</v>
      </c>
      <c r="J9" s="8" t="s">
        <v>23</v>
      </c>
      <c r="K9" s="11">
        <v>0</v>
      </c>
      <c r="L9" s="28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28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313</v>
      </c>
      <c r="J11" s="8" t="s">
        <v>19</v>
      </c>
      <c r="K11" s="11">
        <v>20</v>
      </c>
      <c r="L11" s="28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313</v>
      </c>
      <c r="J12" s="8" t="s">
        <v>23</v>
      </c>
      <c r="K12" s="11">
        <v>0</v>
      </c>
      <c r="L12" s="28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28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313</v>
      </c>
      <c r="J14" s="8" t="s">
        <v>19</v>
      </c>
      <c r="K14" s="11">
        <v>20</v>
      </c>
      <c r="L14" s="28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313</v>
      </c>
      <c r="J15" s="8" t="s">
        <v>23</v>
      </c>
      <c r="K15" s="11">
        <v>0</v>
      </c>
      <c r="L15" s="28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28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313</v>
      </c>
      <c r="J17" s="8" t="s">
        <v>19</v>
      </c>
      <c r="K17" s="11">
        <v>20</v>
      </c>
      <c r="L17" s="28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313</v>
      </c>
      <c r="J18" s="8" t="s">
        <v>23</v>
      </c>
      <c r="K18" s="11">
        <v>0</v>
      </c>
      <c r="L18" s="28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28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313</v>
      </c>
      <c r="J20" s="8" t="s">
        <v>19</v>
      </c>
      <c r="K20" s="11">
        <v>20</v>
      </c>
      <c r="L20" s="28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313</v>
      </c>
      <c r="J21" s="8" t="s">
        <v>23</v>
      </c>
      <c r="K21" s="11">
        <v>0</v>
      </c>
      <c r="L21" s="28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28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313</v>
      </c>
      <c r="J23" s="8" t="s">
        <v>19</v>
      </c>
      <c r="K23" s="11">
        <v>20</v>
      </c>
      <c r="L23" s="28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313</v>
      </c>
      <c r="J24" s="8" t="s">
        <v>23</v>
      </c>
      <c r="K24" s="11">
        <v>0</v>
      </c>
      <c r="L24" s="28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28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313</v>
      </c>
      <c r="J26" s="8" t="s">
        <v>19</v>
      </c>
      <c r="K26" s="11">
        <v>20</v>
      </c>
      <c r="L26" s="28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313</v>
      </c>
      <c r="J27" s="8" t="s">
        <v>23</v>
      </c>
      <c r="K27" s="11">
        <v>0</v>
      </c>
      <c r="L27" s="28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28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313</v>
      </c>
      <c r="J29" s="8" t="s">
        <v>19</v>
      </c>
      <c r="K29" s="11">
        <v>20</v>
      </c>
      <c r="L29" s="28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313</v>
      </c>
      <c r="J30" s="8" t="s">
        <v>23</v>
      </c>
      <c r="K30" s="11">
        <v>0</v>
      </c>
      <c r="L30" s="28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28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313</v>
      </c>
      <c r="J32" s="8" t="s">
        <v>19</v>
      </c>
      <c r="K32" s="11">
        <v>20</v>
      </c>
      <c r="L32" s="28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313</v>
      </c>
      <c r="J33" s="8" t="s">
        <v>23</v>
      </c>
      <c r="K33" s="11">
        <v>0</v>
      </c>
      <c r="L33" s="28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28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313</v>
      </c>
      <c r="J35" s="8" t="s">
        <v>19</v>
      </c>
      <c r="K35" s="11">
        <v>20</v>
      </c>
      <c r="L35" s="28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313</v>
      </c>
      <c r="J36" s="8" t="s">
        <v>23</v>
      </c>
      <c r="K36" s="11">
        <v>0</v>
      </c>
      <c r="L36" s="28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313</v>
      </c>
      <c r="J37" s="8" t="s">
        <v>23</v>
      </c>
      <c r="K37" s="11">
        <v>0</v>
      </c>
      <c r="L37" s="28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28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313</v>
      </c>
      <c r="J39" s="8" t="s">
        <v>19</v>
      </c>
      <c r="K39" s="11">
        <v>20</v>
      </c>
      <c r="L39" s="28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313</v>
      </c>
      <c r="J40" s="8" t="s">
        <v>23</v>
      </c>
      <c r="K40" s="11">
        <v>0</v>
      </c>
      <c r="L40" s="28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28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313</v>
      </c>
      <c r="J42" s="8" t="s">
        <v>19</v>
      </c>
      <c r="K42" s="11">
        <v>20</v>
      </c>
      <c r="L42" s="28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313</v>
      </c>
      <c r="J43" s="8" t="s">
        <v>23</v>
      </c>
      <c r="K43" s="11">
        <v>0</v>
      </c>
      <c r="L43" s="28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28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313</v>
      </c>
      <c r="J45" s="8" t="s">
        <v>19</v>
      </c>
      <c r="K45" s="11">
        <v>20</v>
      </c>
      <c r="L45" s="28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313</v>
      </c>
      <c r="J46" s="8" t="s">
        <v>23</v>
      </c>
      <c r="K46" s="11">
        <v>0</v>
      </c>
      <c r="L46" s="28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28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313</v>
      </c>
      <c r="J48" s="8" t="s">
        <v>19</v>
      </c>
      <c r="K48" s="11">
        <v>20</v>
      </c>
      <c r="L48" s="28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313</v>
      </c>
      <c r="J49" s="8" t="s">
        <v>23</v>
      </c>
      <c r="K49" s="11">
        <v>0</v>
      </c>
      <c r="L49" s="28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28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313</v>
      </c>
      <c r="J51" s="8" t="s">
        <v>19</v>
      </c>
      <c r="K51" s="11">
        <v>20</v>
      </c>
      <c r="L51" s="28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313</v>
      </c>
      <c r="J52" s="8" t="s">
        <v>23</v>
      </c>
      <c r="K52" s="11">
        <v>0</v>
      </c>
      <c r="L52" s="28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28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313</v>
      </c>
      <c r="J54" s="8" t="s">
        <v>19</v>
      </c>
      <c r="K54" s="11">
        <v>20</v>
      </c>
      <c r="L54" s="28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313</v>
      </c>
      <c r="J55" s="8" t="s">
        <v>23</v>
      </c>
      <c r="K55" s="11">
        <v>0</v>
      </c>
      <c r="L55" s="28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28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313</v>
      </c>
      <c r="J57" s="8" t="s">
        <v>19</v>
      </c>
      <c r="K57" s="11">
        <v>20</v>
      </c>
      <c r="L57" s="28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313</v>
      </c>
      <c r="J58" s="8" t="s">
        <v>23</v>
      </c>
      <c r="K58" s="11">
        <v>0</v>
      </c>
      <c r="L58" s="28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28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313</v>
      </c>
      <c r="J60" s="8" t="s">
        <v>19</v>
      </c>
      <c r="K60" s="11">
        <v>20</v>
      </c>
      <c r="L60" s="28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313</v>
      </c>
      <c r="J61" s="8" t="s">
        <v>23</v>
      </c>
      <c r="K61" s="11">
        <v>0</v>
      </c>
      <c r="L61" s="28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28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313</v>
      </c>
      <c r="J63" s="8" t="s">
        <v>19</v>
      </c>
      <c r="K63" s="11">
        <v>20</v>
      </c>
      <c r="L63" s="28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313</v>
      </c>
      <c r="J64" s="8" t="s">
        <v>23</v>
      </c>
      <c r="K64" s="11">
        <v>0</v>
      </c>
      <c r="L64" s="28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28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313</v>
      </c>
      <c r="J66" s="8" t="s">
        <v>19</v>
      </c>
      <c r="K66" s="11">
        <v>20</v>
      </c>
      <c r="L66" s="28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313</v>
      </c>
      <c r="J67" s="8" t="s">
        <v>23</v>
      </c>
      <c r="K67" s="11">
        <v>0</v>
      </c>
      <c r="L67" s="28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28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313</v>
      </c>
      <c r="J69" s="8" t="s">
        <v>19</v>
      </c>
      <c r="K69" s="11">
        <v>20</v>
      </c>
      <c r="L69" s="28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313</v>
      </c>
      <c r="J70" s="8" t="s">
        <v>23</v>
      </c>
      <c r="K70" s="11">
        <v>0</v>
      </c>
      <c r="L70" s="28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28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313</v>
      </c>
      <c r="J72" s="8" t="s">
        <v>19</v>
      </c>
      <c r="K72" s="11">
        <v>20</v>
      </c>
      <c r="L72" s="28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313</v>
      </c>
      <c r="J73" s="8" t="s">
        <v>23</v>
      </c>
      <c r="K73" s="11">
        <v>0</v>
      </c>
      <c r="L73" s="28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28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313</v>
      </c>
      <c r="J75" s="8" t="s">
        <v>19</v>
      </c>
      <c r="K75" s="11">
        <v>20</v>
      </c>
      <c r="L75" s="28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313</v>
      </c>
      <c r="J76" s="8" t="s">
        <v>23</v>
      </c>
      <c r="K76" s="11">
        <v>0</v>
      </c>
      <c r="L76" s="28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28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313</v>
      </c>
      <c r="J78" s="8" t="s">
        <v>19</v>
      </c>
      <c r="K78" s="11">
        <v>20</v>
      </c>
      <c r="L78" s="28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313</v>
      </c>
      <c r="J79" s="8" t="s">
        <v>23</v>
      </c>
      <c r="K79" s="11">
        <v>0</v>
      </c>
      <c r="L79" s="28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28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313</v>
      </c>
      <c r="J81" s="8" t="s">
        <v>19</v>
      </c>
      <c r="K81" s="11">
        <v>20</v>
      </c>
      <c r="L81" s="28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313</v>
      </c>
      <c r="J82" s="8" t="s">
        <v>23</v>
      </c>
      <c r="K82" s="11">
        <v>0</v>
      </c>
      <c r="L82" s="28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28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313</v>
      </c>
      <c r="J84" s="8" t="s">
        <v>19</v>
      </c>
      <c r="K84" s="11">
        <v>20</v>
      </c>
      <c r="L84" s="28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313</v>
      </c>
      <c r="J85" s="8" t="s">
        <v>23</v>
      </c>
      <c r="K85" s="11">
        <v>0</v>
      </c>
      <c r="L85" s="28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28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313</v>
      </c>
      <c r="J87" s="8" t="s">
        <v>19</v>
      </c>
      <c r="K87" s="11">
        <v>20</v>
      </c>
      <c r="L87" s="28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313</v>
      </c>
      <c r="J88" s="8" t="s">
        <v>23</v>
      </c>
      <c r="K88" s="11">
        <v>0</v>
      </c>
      <c r="L88" s="28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28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313</v>
      </c>
      <c r="J90" s="8" t="s">
        <v>19</v>
      </c>
      <c r="K90" s="11">
        <v>20</v>
      </c>
      <c r="L90" s="28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313</v>
      </c>
      <c r="J91" s="8" t="s">
        <v>23</v>
      </c>
      <c r="K91" s="11">
        <v>0</v>
      </c>
      <c r="L91" s="28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28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313</v>
      </c>
      <c r="J93" s="8" t="s">
        <v>19</v>
      </c>
      <c r="K93" s="11">
        <v>20</v>
      </c>
      <c r="L93" s="28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313</v>
      </c>
      <c r="J94" s="8" t="s">
        <v>23</v>
      </c>
      <c r="K94" s="11">
        <v>0</v>
      </c>
      <c r="L94" s="28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28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313</v>
      </c>
      <c r="J96" s="8" t="s">
        <v>19</v>
      </c>
      <c r="K96" s="11">
        <v>20</v>
      </c>
      <c r="L96" s="28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313</v>
      </c>
      <c r="J97" s="8" t="s">
        <v>23</v>
      </c>
      <c r="K97" s="11">
        <v>0</v>
      </c>
      <c r="L97" s="28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28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313</v>
      </c>
      <c r="J99" s="8" t="s">
        <v>19</v>
      </c>
      <c r="K99" s="11">
        <v>20</v>
      </c>
      <c r="L99" s="28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313</v>
      </c>
      <c r="J100" s="8" t="s">
        <v>23</v>
      </c>
      <c r="K100" s="11">
        <v>0</v>
      </c>
      <c r="L100" s="28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28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313</v>
      </c>
      <c r="J102" s="8" t="s">
        <v>19</v>
      </c>
      <c r="K102" s="11">
        <v>20</v>
      </c>
      <c r="L102" s="28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313</v>
      </c>
      <c r="J103" s="8" t="s">
        <v>23</v>
      </c>
      <c r="K103" s="11">
        <v>0</v>
      </c>
      <c r="L103" s="28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28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313</v>
      </c>
      <c r="J105" s="8" t="s">
        <v>19</v>
      </c>
      <c r="K105" s="11">
        <v>20</v>
      </c>
      <c r="L105" s="28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313</v>
      </c>
      <c r="J106" s="8" t="s">
        <v>23</v>
      </c>
      <c r="K106" s="11">
        <v>0</v>
      </c>
      <c r="L106" s="28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313</v>
      </c>
      <c r="J107" s="8" t="s">
        <v>23</v>
      </c>
      <c r="K107" s="11">
        <v>0</v>
      </c>
      <c r="L107" s="28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28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313</v>
      </c>
      <c r="J109" s="8" t="s">
        <v>19</v>
      </c>
      <c r="K109" s="11">
        <v>20</v>
      </c>
      <c r="L109" s="28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313</v>
      </c>
      <c r="J110" s="8" t="s">
        <v>23</v>
      </c>
      <c r="K110" s="11">
        <v>0</v>
      </c>
      <c r="L110" s="28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28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313</v>
      </c>
      <c r="J112" s="8" t="s">
        <v>19</v>
      </c>
      <c r="K112" s="11">
        <v>20</v>
      </c>
      <c r="L112" s="28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313</v>
      </c>
      <c r="J113" s="8" t="s">
        <v>23</v>
      </c>
      <c r="K113" s="11">
        <v>0</v>
      </c>
      <c r="L113" s="28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28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313</v>
      </c>
      <c r="J115" s="8" t="s">
        <v>19</v>
      </c>
      <c r="K115" s="11">
        <v>20</v>
      </c>
      <c r="L115" s="28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313</v>
      </c>
      <c r="J116" s="8" t="s">
        <v>23</v>
      </c>
      <c r="K116" s="11">
        <v>0</v>
      </c>
      <c r="L116" s="28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28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313</v>
      </c>
      <c r="J118" s="8" t="s">
        <v>19</v>
      </c>
      <c r="K118" s="11">
        <v>20</v>
      </c>
      <c r="L118" s="28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313</v>
      </c>
      <c r="J119" s="8" t="s">
        <v>23</v>
      </c>
      <c r="K119" s="11">
        <v>0</v>
      </c>
      <c r="L119" s="28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28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313</v>
      </c>
      <c r="J121" s="8" t="s">
        <v>19</v>
      </c>
      <c r="K121" s="11">
        <v>20</v>
      </c>
      <c r="L121" s="28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313</v>
      </c>
      <c r="J122" s="8" t="s">
        <v>23</v>
      </c>
      <c r="K122" s="11">
        <v>0</v>
      </c>
      <c r="L122" s="28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28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313</v>
      </c>
      <c r="J124" s="8" t="s">
        <v>19</v>
      </c>
      <c r="K124" s="11">
        <v>20</v>
      </c>
      <c r="L124" s="28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313</v>
      </c>
      <c r="J125" s="8" t="s">
        <v>23</v>
      </c>
      <c r="K125" s="11">
        <v>0</v>
      </c>
      <c r="L125" s="28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28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313</v>
      </c>
      <c r="J127" s="8" t="s">
        <v>19</v>
      </c>
      <c r="K127" s="11">
        <v>20</v>
      </c>
      <c r="L127" s="28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313</v>
      </c>
      <c r="J128" s="8" t="s">
        <v>23</v>
      </c>
      <c r="K128" s="11">
        <v>0</v>
      </c>
      <c r="L128" s="28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28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313</v>
      </c>
      <c r="J130" s="8" t="s">
        <v>19</v>
      </c>
      <c r="K130" s="11">
        <v>20</v>
      </c>
      <c r="L130" s="28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313</v>
      </c>
      <c r="J131" s="8" t="s">
        <v>23</v>
      </c>
      <c r="K131" s="11">
        <v>0</v>
      </c>
      <c r="L131" s="28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28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313</v>
      </c>
      <c r="J133" s="8" t="s">
        <v>19</v>
      </c>
      <c r="K133" s="11">
        <v>20</v>
      </c>
      <c r="L133" s="28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313</v>
      </c>
      <c r="J134" s="8" t="s">
        <v>23</v>
      </c>
      <c r="K134" s="11">
        <v>0</v>
      </c>
      <c r="L134" s="28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28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313</v>
      </c>
      <c r="J136" s="8" t="s">
        <v>19</v>
      </c>
      <c r="K136" s="11">
        <v>20</v>
      </c>
      <c r="L136" s="28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313</v>
      </c>
      <c r="J137" s="8" t="s">
        <v>23</v>
      </c>
      <c r="K137" s="11">
        <v>0</v>
      </c>
      <c r="L137" s="28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28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313</v>
      </c>
      <c r="J139" s="8" t="s">
        <v>19</v>
      </c>
      <c r="K139" s="11">
        <v>20</v>
      </c>
      <c r="L139" s="28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313</v>
      </c>
      <c r="J140" s="8" t="s">
        <v>23</v>
      </c>
      <c r="K140" s="11">
        <v>0</v>
      </c>
      <c r="L140" s="28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28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313</v>
      </c>
      <c r="J142" s="8" t="s">
        <v>19</v>
      </c>
      <c r="K142" s="11">
        <v>20</v>
      </c>
      <c r="L142" s="28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313</v>
      </c>
      <c r="J143" s="8" t="s">
        <v>23</v>
      </c>
      <c r="K143" s="11">
        <v>0</v>
      </c>
      <c r="L143" s="28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28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313</v>
      </c>
      <c r="J145" s="8" t="s">
        <v>19</v>
      </c>
      <c r="K145" s="11">
        <v>20</v>
      </c>
      <c r="L145" s="28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313</v>
      </c>
      <c r="J146" s="8" t="s">
        <v>23</v>
      </c>
      <c r="K146" s="11">
        <v>0</v>
      </c>
      <c r="L146" s="28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28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313</v>
      </c>
      <c r="J148" s="8" t="s">
        <v>19</v>
      </c>
      <c r="K148" s="11">
        <v>20</v>
      </c>
      <c r="L148" s="28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313</v>
      </c>
      <c r="J149" s="8" t="s">
        <v>23</v>
      </c>
      <c r="K149" s="11">
        <v>0</v>
      </c>
      <c r="L149" s="28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28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313</v>
      </c>
      <c r="J151" s="8" t="s">
        <v>19</v>
      </c>
      <c r="K151" s="11">
        <v>20</v>
      </c>
      <c r="L151" s="28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313</v>
      </c>
      <c r="J152" s="8" t="s">
        <v>23</v>
      </c>
      <c r="K152" s="11">
        <v>0</v>
      </c>
      <c r="L152" s="28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28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313</v>
      </c>
      <c r="J154" s="8" t="s">
        <v>19</v>
      </c>
      <c r="K154" s="11">
        <v>20</v>
      </c>
      <c r="L154" s="28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313</v>
      </c>
      <c r="J155" s="8" t="s">
        <v>23</v>
      </c>
      <c r="K155" s="11">
        <v>0</v>
      </c>
      <c r="L155" s="28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28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313</v>
      </c>
      <c r="J157" s="8" t="s">
        <v>19</v>
      </c>
      <c r="K157" s="11">
        <v>20</v>
      </c>
      <c r="L157" s="28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313</v>
      </c>
      <c r="J158" s="8" t="s">
        <v>23</v>
      </c>
      <c r="K158" s="11">
        <v>0</v>
      </c>
      <c r="L158" s="28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28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313</v>
      </c>
      <c r="J160" s="8" t="s">
        <v>19</v>
      </c>
      <c r="K160" s="11">
        <v>20</v>
      </c>
      <c r="L160" s="28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313</v>
      </c>
      <c r="J161" s="8" t="s">
        <v>23</v>
      </c>
      <c r="K161" s="11">
        <v>0</v>
      </c>
      <c r="L161" s="28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28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313</v>
      </c>
      <c r="J163" s="8" t="s">
        <v>19</v>
      </c>
      <c r="K163" s="11">
        <v>20</v>
      </c>
      <c r="L163" s="28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313</v>
      </c>
      <c r="J164" s="8" t="s">
        <v>23</v>
      </c>
      <c r="K164" s="11">
        <v>0</v>
      </c>
      <c r="L164" s="28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28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313</v>
      </c>
      <c r="J166" s="8" t="s">
        <v>19</v>
      </c>
      <c r="K166" s="11">
        <v>20</v>
      </c>
      <c r="L166" s="28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313</v>
      </c>
      <c r="J167" s="8" t="s">
        <v>23</v>
      </c>
      <c r="K167" s="11">
        <v>0</v>
      </c>
      <c r="L167" s="28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28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313</v>
      </c>
      <c r="J169" s="8" t="s">
        <v>19</v>
      </c>
      <c r="K169" s="11">
        <v>20</v>
      </c>
      <c r="L169" s="28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313</v>
      </c>
      <c r="J170" s="8" t="s">
        <v>23</v>
      </c>
      <c r="K170" s="11">
        <v>0</v>
      </c>
      <c r="L170" s="28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28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313</v>
      </c>
      <c r="J172" s="8" t="s">
        <v>19</v>
      </c>
      <c r="K172" s="11">
        <v>20</v>
      </c>
      <c r="L172" s="28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313</v>
      </c>
      <c r="J173" s="8" t="s">
        <v>23</v>
      </c>
      <c r="K173" s="11">
        <v>0</v>
      </c>
      <c r="L173" s="28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28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313</v>
      </c>
      <c r="J175" s="8" t="s">
        <v>19</v>
      </c>
      <c r="K175" s="11">
        <v>20</v>
      </c>
      <c r="L175" s="28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313</v>
      </c>
      <c r="J176" s="8" t="s">
        <v>23</v>
      </c>
      <c r="K176" s="11">
        <v>0</v>
      </c>
      <c r="L176" s="28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313</v>
      </c>
      <c r="J177" s="8" t="s">
        <v>23</v>
      </c>
      <c r="K177" s="11">
        <v>0</v>
      </c>
      <c r="L177" s="28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28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313</v>
      </c>
      <c r="J179" s="8" t="s">
        <v>19</v>
      </c>
      <c r="K179" s="11">
        <v>20</v>
      </c>
      <c r="L179" s="28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313</v>
      </c>
      <c r="J180" s="8" t="s">
        <v>23</v>
      </c>
      <c r="K180" s="11">
        <v>0</v>
      </c>
      <c r="L180" s="28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28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313</v>
      </c>
      <c r="J182" s="8" t="s">
        <v>19</v>
      </c>
      <c r="K182" s="11">
        <v>20</v>
      </c>
      <c r="L182" s="28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313</v>
      </c>
      <c r="J183" s="8" t="s">
        <v>23</v>
      </c>
      <c r="K183" s="11">
        <v>0</v>
      </c>
      <c r="L183" s="28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28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313</v>
      </c>
      <c r="J185" s="8" t="s">
        <v>19</v>
      </c>
      <c r="K185" s="11">
        <v>20</v>
      </c>
      <c r="L185" s="28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313</v>
      </c>
      <c r="J186" s="8" t="s">
        <v>23</v>
      </c>
      <c r="K186" s="11">
        <v>0</v>
      </c>
      <c r="L186" s="28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28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313</v>
      </c>
      <c r="J188" s="8" t="s">
        <v>19</v>
      </c>
      <c r="K188" s="11">
        <v>20</v>
      </c>
      <c r="L188" s="28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313</v>
      </c>
      <c r="J189" s="8" t="s">
        <v>23</v>
      </c>
      <c r="K189" s="11">
        <v>0</v>
      </c>
      <c r="L189" s="28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28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313</v>
      </c>
      <c r="J191" s="8" t="s">
        <v>19</v>
      </c>
      <c r="K191" s="11">
        <v>20</v>
      </c>
      <c r="L191" s="28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313</v>
      </c>
      <c r="J192" s="8" t="s">
        <v>23</v>
      </c>
      <c r="K192" s="11">
        <v>0</v>
      </c>
      <c r="L192" s="28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28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313</v>
      </c>
      <c r="J194" s="8" t="s">
        <v>19</v>
      </c>
      <c r="K194" s="11">
        <v>20</v>
      </c>
      <c r="L194" s="28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313</v>
      </c>
      <c r="J195" s="8" t="s">
        <v>23</v>
      </c>
      <c r="K195" s="11">
        <v>0</v>
      </c>
      <c r="L195" s="28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28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313</v>
      </c>
      <c r="J197" s="8" t="s">
        <v>19</v>
      </c>
      <c r="K197" s="11">
        <v>20</v>
      </c>
      <c r="L197" s="28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313</v>
      </c>
      <c r="J198" s="8" t="s">
        <v>23</v>
      </c>
      <c r="K198" s="11">
        <v>0</v>
      </c>
      <c r="L198" s="28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28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313</v>
      </c>
      <c r="J200" s="8" t="s">
        <v>19</v>
      </c>
      <c r="K200" s="11">
        <v>20</v>
      </c>
      <c r="L200" s="28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313</v>
      </c>
      <c r="J201" s="8" t="s">
        <v>23</v>
      </c>
      <c r="K201" s="11">
        <v>0</v>
      </c>
      <c r="L201" s="28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28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313</v>
      </c>
      <c r="J203" s="8" t="s">
        <v>19</v>
      </c>
      <c r="K203" s="11">
        <v>20</v>
      </c>
      <c r="L203" s="28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313</v>
      </c>
      <c r="J204" s="8" t="s">
        <v>23</v>
      </c>
      <c r="K204" s="11">
        <v>0</v>
      </c>
      <c r="L204" s="28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28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313</v>
      </c>
      <c r="J206" s="8" t="s">
        <v>19</v>
      </c>
      <c r="K206" s="11">
        <v>20</v>
      </c>
      <c r="L206" s="28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313</v>
      </c>
      <c r="J207" s="8" t="s">
        <v>23</v>
      </c>
      <c r="K207" s="11">
        <v>0</v>
      </c>
      <c r="L207" s="28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28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313</v>
      </c>
      <c r="J209" s="8" t="s">
        <v>19</v>
      </c>
      <c r="K209" s="11">
        <v>20</v>
      </c>
      <c r="L209" s="28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313</v>
      </c>
      <c r="J210" s="8" t="s">
        <v>23</v>
      </c>
      <c r="K210" s="11">
        <v>0</v>
      </c>
      <c r="L210" s="28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28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313</v>
      </c>
      <c r="J212" s="8" t="s">
        <v>19</v>
      </c>
      <c r="K212" s="11">
        <v>20</v>
      </c>
      <c r="L212" s="28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313</v>
      </c>
      <c r="J213" s="8" t="s">
        <v>23</v>
      </c>
      <c r="K213" s="11">
        <v>0</v>
      </c>
      <c r="L213" s="28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28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313</v>
      </c>
      <c r="J215" s="8" t="s">
        <v>19</v>
      </c>
      <c r="K215" s="11">
        <v>20</v>
      </c>
      <c r="L215" s="28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313</v>
      </c>
      <c r="J216" s="8" t="s">
        <v>23</v>
      </c>
      <c r="K216" s="11">
        <v>0</v>
      </c>
      <c r="L216" s="28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28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313</v>
      </c>
      <c r="J218" s="8" t="s">
        <v>19</v>
      </c>
      <c r="K218" s="11">
        <v>20</v>
      </c>
      <c r="L218" s="28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313</v>
      </c>
      <c r="J219" s="8" t="s">
        <v>23</v>
      </c>
      <c r="K219" s="11">
        <v>0</v>
      </c>
      <c r="L219" s="28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28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313</v>
      </c>
      <c r="J221" s="8" t="s">
        <v>19</v>
      </c>
      <c r="K221" s="11">
        <v>20</v>
      </c>
      <c r="L221" s="28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313</v>
      </c>
      <c r="J222" s="8" t="s">
        <v>23</v>
      </c>
      <c r="K222" s="11">
        <v>0</v>
      </c>
      <c r="L222" s="28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28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313</v>
      </c>
      <c r="J224" s="8" t="s">
        <v>19</v>
      </c>
      <c r="K224" s="11">
        <v>20</v>
      </c>
      <c r="L224" s="28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313</v>
      </c>
      <c r="J225" s="8" t="s">
        <v>23</v>
      </c>
      <c r="K225" s="11">
        <v>0</v>
      </c>
      <c r="L225" s="28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28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313</v>
      </c>
      <c r="J227" s="8" t="s">
        <v>19</v>
      </c>
      <c r="K227" s="11">
        <v>20</v>
      </c>
      <c r="L227" s="28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313</v>
      </c>
      <c r="J228" s="8" t="s">
        <v>23</v>
      </c>
      <c r="K228" s="11">
        <v>0</v>
      </c>
      <c r="L228" s="28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28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313</v>
      </c>
      <c r="J230" s="8" t="s">
        <v>19</v>
      </c>
      <c r="K230" s="11">
        <v>20</v>
      </c>
      <c r="L230" s="28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313</v>
      </c>
      <c r="J231" s="8" t="s">
        <v>23</v>
      </c>
      <c r="K231" s="11">
        <v>0</v>
      </c>
      <c r="L231" s="28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28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313</v>
      </c>
      <c r="J233" s="8" t="s">
        <v>19</v>
      </c>
      <c r="K233" s="11">
        <v>20</v>
      </c>
      <c r="L233" s="28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313</v>
      </c>
      <c r="J234" s="8" t="s">
        <v>23</v>
      </c>
      <c r="K234" s="11">
        <v>0</v>
      </c>
      <c r="L234" s="28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28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313</v>
      </c>
      <c r="J236" s="8" t="s">
        <v>19</v>
      </c>
      <c r="K236" s="11">
        <v>20</v>
      </c>
      <c r="L236" s="28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313</v>
      </c>
      <c r="J237" s="8" t="s">
        <v>23</v>
      </c>
      <c r="K237" s="11">
        <v>0</v>
      </c>
      <c r="L237" s="28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28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313</v>
      </c>
      <c r="J239" s="8" t="s">
        <v>19</v>
      </c>
      <c r="K239" s="11">
        <v>20</v>
      </c>
      <c r="L239" s="28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313</v>
      </c>
      <c r="J240" s="8" t="s">
        <v>23</v>
      </c>
      <c r="K240" s="11">
        <v>0</v>
      </c>
      <c r="L240" s="28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28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313</v>
      </c>
      <c r="J242" s="8" t="s">
        <v>19</v>
      </c>
      <c r="K242" s="11">
        <v>20</v>
      </c>
      <c r="L242" s="28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313</v>
      </c>
      <c r="J243" s="8" t="s">
        <v>23</v>
      </c>
      <c r="K243" s="11">
        <v>0</v>
      </c>
      <c r="L243" s="28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28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313</v>
      </c>
      <c r="J245" s="8" t="s">
        <v>19</v>
      </c>
      <c r="K245" s="11">
        <v>20</v>
      </c>
      <c r="L245" s="28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313</v>
      </c>
      <c r="J246" s="8" t="s">
        <v>23</v>
      </c>
      <c r="K246" s="11">
        <v>0</v>
      </c>
      <c r="L246" s="28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28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313</v>
      </c>
      <c r="J248" s="8" t="s">
        <v>19</v>
      </c>
      <c r="K248" s="11">
        <v>20</v>
      </c>
      <c r="L248" s="28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313</v>
      </c>
      <c r="J249" s="8" t="s">
        <v>23</v>
      </c>
      <c r="K249" s="11">
        <v>0</v>
      </c>
      <c r="L249" s="28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28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313</v>
      </c>
      <c r="J251" s="8" t="s">
        <v>19</v>
      </c>
      <c r="K251" s="11">
        <v>20</v>
      </c>
      <c r="L251" s="28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313</v>
      </c>
      <c r="J252" s="8" t="s">
        <v>23</v>
      </c>
      <c r="K252" s="11">
        <v>0</v>
      </c>
      <c r="L252" s="28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28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313</v>
      </c>
      <c r="J254" s="8" t="s">
        <v>19</v>
      </c>
      <c r="K254" s="11">
        <v>20</v>
      </c>
      <c r="L254" s="28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313</v>
      </c>
      <c r="J255" s="8" t="s">
        <v>23</v>
      </c>
      <c r="K255" s="11">
        <v>0</v>
      </c>
      <c r="L255" s="28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28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313</v>
      </c>
      <c r="J257" s="8" t="s">
        <v>23</v>
      </c>
      <c r="K257" s="11">
        <v>0</v>
      </c>
      <c r="L257" s="28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28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313</v>
      </c>
      <c r="J259" s="8" t="s">
        <v>19</v>
      </c>
      <c r="K259" s="11">
        <v>20</v>
      </c>
      <c r="L259" s="28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313</v>
      </c>
      <c r="J260" s="8" t="s">
        <v>23</v>
      </c>
      <c r="K260" s="11">
        <v>0</v>
      </c>
      <c r="L260" s="28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28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313</v>
      </c>
      <c r="J262" s="8" t="s">
        <v>19</v>
      </c>
      <c r="K262" s="11">
        <v>20</v>
      </c>
      <c r="L262" s="28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313</v>
      </c>
      <c r="J263" s="8" t="s">
        <v>23</v>
      </c>
      <c r="K263" s="11">
        <v>0</v>
      </c>
      <c r="L263" s="28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28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313</v>
      </c>
      <c r="J265" s="8" t="s">
        <v>19</v>
      </c>
      <c r="K265" s="11">
        <v>20</v>
      </c>
      <c r="L265" s="28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313</v>
      </c>
      <c r="J266" s="8" t="s">
        <v>23</v>
      </c>
      <c r="K266" s="11">
        <v>0</v>
      </c>
      <c r="L266" s="28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28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313</v>
      </c>
      <c r="J268" s="8" t="s">
        <v>19</v>
      </c>
      <c r="K268" s="11">
        <v>20</v>
      </c>
      <c r="L268" s="28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313</v>
      </c>
      <c r="J269" s="8" t="s">
        <v>23</v>
      </c>
      <c r="K269" s="11">
        <v>0</v>
      </c>
      <c r="L269" s="28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28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313</v>
      </c>
      <c r="J271" s="8" t="s">
        <v>19</v>
      </c>
      <c r="K271" s="11">
        <v>20</v>
      </c>
      <c r="L271" s="28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313</v>
      </c>
      <c r="J272" s="8" t="s">
        <v>23</v>
      </c>
      <c r="K272" s="11">
        <v>0</v>
      </c>
      <c r="L272" s="28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28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313</v>
      </c>
      <c r="J274" s="8" t="s">
        <v>19</v>
      </c>
      <c r="K274" s="11">
        <v>20</v>
      </c>
      <c r="L274" s="28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313</v>
      </c>
      <c r="J275" s="8" t="s">
        <v>23</v>
      </c>
      <c r="K275" s="11">
        <v>0</v>
      </c>
      <c r="L275" s="28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28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313</v>
      </c>
      <c r="J277" s="8" t="s">
        <v>19</v>
      </c>
      <c r="K277" s="11">
        <v>20</v>
      </c>
      <c r="L277" s="28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313</v>
      </c>
      <c r="J278" s="8" t="s">
        <v>23</v>
      </c>
      <c r="K278" s="11">
        <v>0</v>
      </c>
      <c r="L278" s="28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28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313</v>
      </c>
      <c r="J280" s="8" t="s">
        <v>19</v>
      </c>
      <c r="K280" s="11">
        <v>20</v>
      </c>
      <c r="L280" s="28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313</v>
      </c>
      <c r="J281" s="8" t="s">
        <v>23</v>
      </c>
      <c r="K281" s="11">
        <v>0</v>
      </c>
      <c r="L281" s="28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28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313</v>
      </c>
      <c r="J283" s="8" t="s">
        <v>19</v>
      </c>
      <c r="K283" s="11">
        <v>20</v>
      </c>
      <c r="L283" s="28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313</v>
      </c>
      <c r="J284" s="8" t="s">
        <v>23</v>
      </c>
      <c r="K284" s="11">
        <v>0</v>
      </c>
      <c r="L284" s="28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28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313</v>
      </c>
      <c r="J286" s="8" t="s">
        <v>19</v>
      </c>
      <c r="K286" s="11">
        <v>20</v>
      </c>
      <c r="L286" s="28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313</v>
      </c>
      <c r="J287" s="8" t="s">
        <v>23</v>
      </c>
      <c r="K287" s="11">
        <v>0</v>
      </c>
      <c r="L287" s="28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28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313</v>
      </c>
      <c r="J289" s="8" t="s">
        <v>19</v>
      </c>
      <c r="K289" s="11">
        <v>20</v>
      </c>
      <c r="L289" s="28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313</v>
      </c>
      <c r="J290" s="8" t="s">
        <v>23</v>
      </c>
      <c r="K290" s="11">
        <v>0</v>
      </c>
      <c r="L290" s="28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28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313</v>
      </c>
      <c r="J292" s="8" t="s">
        <v>19</v>
      </c>
      <c r="K292" s="11">
        <v>20</v>
      </c>
      <c r="L292" s="28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313</v>
      </c>
      <c r="J293" s="8" t="s">
        <v>23</v>
      </c>
      <c r="K293" s="11">
        <v>0</v>
      </c>
      <c r="L293" s="28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28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313</v>
      </c>
      <c r="J295" s="8" t="s">
        <v>19</v>
      </c>
      <c r="K295" s="11">
        <v>20</v>
      </c>
      <c r="L295" s="28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313</v>
      </c>
      <c r="J296" s="8" t="s">
        <v>23</v>
      </c>
      <c r="K296" s="11">
        <v>0</v>
      </c>
      <c r="L296" s="28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4:J74"/>
  <sheetViews>
    <sheetView showGridLines="0" topLeftCell="A52" workbookViewId="0">
      <selection activeCell="D61" sqref="D61"/>
    </sheetView>
  </sheetViews>
  <sheetFormatPr defaultRowHeight="15" x14ac:dyDescent="0.25"/>
  <cols>
    <col min="2" max="2" width="18.42578125" bestFit="1" customWidth="1"/>
    <col min="3" max="3" width="13.5703125" bestFit="1" customWidth="1"/>
    <col min="4" max="5" width="33.28515625" bestFit="1" customWidth="1"/>
    <col min="6" max="6" width="17" bestFit="1" customWidth="1"/>
    <col min="7" max="7" width="19.28515625" bestFit="1" customWidth="1"/>
    <col min="8" max="8" width="22.140625" bestFit="1" customWidth="1"/>
    <col min="9" max="9" width="12.28515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8" ht="14.25" customHeight="1" x14ac:dyDescent="0.25">
      <c r="B4" s="17" t="s">
        <v>317</v>
      </c>
      <c r="C4" s="17"/>
      <c r="D4" s="17"/>
      <c r="E4" s="17"/>
      <c r="F4" s="17"/>
    </row>
    <row r="5" spans="2:8" x14ac:dyDescent="0.25">
      <c r="B5" s="17" t="s">
        <v>318</v>
      </c>
      <c r="C5" s="17"/>
      <c r="D5" s="17"/>
      <c r="E5" s="17"/>
      <c r="F5" s="17"/>
    </row>
    <row r="6" spans="2:8" x14ac:dyDescent="0.25">
      <c r="B6" s="17" t="s">
        <v>319</v>
      </c>
      <c r="C6" s="17"/>
      <c r="D6" s="17"/>
      <c r="E6" s="17"/>
      <c r="F6" s="17"/>
    </row>
    <row r="7" spans="2:8" ht="14.25" customHeight="1" x14ac:dyDescent="0.25">
      <c r="B7" s="12" t="s">
        <v>15</v>
      </c>
      <c r="C7" t="s">
        <v>316</v>
      </c>
      <c r="F7" s="12" t="s">
        <v>15</v>
      </c>
      <c r="G7" t="s">
        <v>316</v>
      </c>
    </row>
    <row r="8" spans="2:8" x14ac:dyDescent="0.25">
      <c r="B8" s="12" t="s">
        <v>16</v>
      </c>
      <c r="C8" t="s">
        <v>316</v>
      </c>
      <c r="F8" s="12" t="s">
        <v>16</v>
      </c>
      <c r="G8" t="s">
        <v>316</v>
      </c>
    </row>
    <row r="9" spans="2:8" x14ac:dyDescent="0.25">
      <c r="B9" s="12" t="s">
        <v>13</v>
      </c>
      <c r="C9" t="s">
        <v>316</v>
      </c>
      <c r="F9" s="12" t="s">
        <v>13</v>
      </c>
      <c r="G9" t="s">
        <v>316</v>
      </c>
    </row>
    <row r="11" spans="2:8" x14ac:dyDescent="0.25">
      <c r="B11" s="12" t="s">
        <v>309</v>
      </c>
      <c r="C11" t="s">
        <v>337</v>
      </c>
      <c r="D11" t="s">
        <v>338</v>
      </c>
      <c r="F11" t="s">
        <v>337</v>
      </c>
      <c r="G11" t="s">
        <v>338</v>
      </c>
    </row>
    <row r="12" spans="2:8" x14ac:dyDescent="0.25">
      <c r="B12" s="14" t="s">
        <v>324</v>
      </c>
      <c r="C12" s="21">
        <v>2</v>
      </c>
      <c r="D12" s="18">
        <v>65</v>
      </c>
      <c r="F12" s="21">
        <v>295</v>
      </c>
      <c r="G12" s="13">
        <v>7633</v>
      </c>
      <c r="H12" s="13">
        <f>G12/F12</f>
        <v>25.874576271186442</v>
      </c>
    </row>
    <row r="13" spans="2:8" x14ac:dyDescent="0.25">
      <c r="B13" s="14" t="s">
        <v>325</v>
      </c>
      <c r="C13" s="21">
        <v>2</v>
      </c>
      <c r="D13" s="18">
        <v>82</v>
      </c>
    </row>
    <row r="14" spans="2:8" x14ac:dyDescent="0.25">
      <c r="B14" s="14" t="s">
        <v>326</v>
      </c>
      <c r="C14" s="21">
        <v>31</v>
      </c>
      <c r="D14" s="18">
        <v>801</v>
      </c>
    </row>
    <row r="15" spans="2:8" x14ac:dyDescent="0.25">
      <c r="B15" s="14" t="s">
        <v>327</v>
      </c>
      <c r="C15" s="21">
        <v>30</v>
      </c>
      <c r="D15" s="18">
        <v>782</v>
      </c>
    </row>
    <row r="16" spans="2:8" x14ac:dyDescent="0.25">
      <c r="B16" s="14" t="s">
        <v>328</v>
      </c>
      <c r="C16" s="21">
        <v>31</v>
      </c>
      <c r="D16" s="18">
        <v>777</v>
      </c>
    </row>
    <row r="17" spans="2:10" x14ac:dyDescent="0.25">
      <c r="B17" s="14" t="s">
        <v>329</v>
      </c>
      <c r="C17" s="21">
        <v>30</v>
      </c>
      <c r="D17" s="18">
        <v>770</v>
      </c>
    </row>
    <row r="18" spans="2:10" x14ac:dyDescent="0.25">
      <c r="B18" s="14" t="s">
        <v>330</v>
      </c>
      <c r="C18" s="21">
        <v>31</v>
      </c>
      <c r="D18" s="18">
        <v>784</v>
      </c>
    </row>
    <row r="19" spans="2:10" x14ac:dyDescent="0.25">
      <c r="B19" s="14" t="s">
        <v>331</v>
      </c>
      <c r="C19" s="21">
        <v>31</v>
      </c>
      <c r="D19" s="18">
        <v>787</v>
      </c>
    </row>
    <row r="20" spans="2:10" x14ac:dyDescent="0.25">
      <c r="B20" s="14" t="s">
        <v>332</v>
      </c>
      <c r="C20" s="21">
        <v>30</v>
      </c>
      <c r="D20" s="18">
        <v>780</v>
      </c>
    </row>
    <row r="21" spans="2:10" x14ac:dyDescent="0.25">
      <c r="B21" s="14" t="s">
        <v>333</v>
      </c>
      <c r="C21" s="21">
        <v>31</v>
      </c>
      <c r="D21" s="18">
        <v>832</v>
      </c>
    </row>
    <row r="22" spans="2:10" x14ac:dyDescent="0.25">
      <c r="B22" s="14" t="s">
        <v>334</v>
      </c>
      <c r="C22" s="21">
        <v>30</v>
      </c>
      <c r="D22" s="18">
        <v>784</v>
      </c>
    </row>
    <row r="23" spans="2:10" x14ac:dyDescent="0.25">
      <c r="B23" s="14" t="s">
        <v>335</v>
      </c>
      <c r="C23" s="21">
        <v>16</v>
      </c>
      <c r="D23" s="18">
        <v>389</v>
      </c>
    </row>
    <row r="24" spans="2:10" x14ac:dyDescent="0.25">
      <c r="B24" s="14" t="s">
        <v>310</v>
      </c>
      <c r="C24" s="21">
        <v>295</v>
      </c>
      <c r="D24" s="13">
        <v>7633</v>
      </c>
      <c r="E24" s="13">
        <f>D24/C24</f>
        <v>25.874576271186442</v>
      </c>
    </row>
    <row r="25" spans="2:10" x14ac:dyDescent="0.25">
      <c r="B25" s="14"/>
      <c r="D25" s="13"/>
      <c r="E25" s="13"/>
    </row>
    <row r="26" spans="2:10" ht="14.25" customHeight="1" x14ac:dyDescent="0.25">
      <c r="B26" s="17" t="s">
        <v>320</v>
      </c>
      <c r="C26" s="17"/>
      <c r="D26" s="17"/>
      <c r="E26" s="17"/>
      <c r="F26" s="17"/>
      <c r="G26" s="17" t="s">
        <v>320</v>
      </c>
      <c r="H26" s="17"/>
      <c r="I26" s="17"/>
      <c r="J26" s="17"/>
    </row>
    <row r="27" spans="2:10" x14ac:dyDescent="0.25">
      <c r="B27" s="12" t="s">
        <v>13</v>
      </c>
      <c r="C27" t="s">
        <v>316</v>
      </c>
      <c r="G27" s="12" t="s">
        <v>13</v>
      </c>
      <c r="H27" t="s">
        <v>316</v>
      </c>
    </row>
    <row r="28" spans="2:10" x14ac:dyDescent="0.25">
      <c r="B28" s="12" t="s">
        <v>336</v>
      </c>
      <c r="C28" t="s">
        <v>316</v>
      </c>
      <c r="G28" s="12" t="s">
        <v>336</v>
      </c>
      <c r="H28" t="s">
        <v>316</v>
      </c>
    </row>
    <row r="29" spans="2:10" x14ac:dyDescent="0.25">
      <c r="B29" s="12" t="s">
        <v>16</v>
      </c>
      <c r="C29" t="s">
        <v>316</v>
      </c>
      <c r="G29" s="12" t="s">
        <v>15</v>
      </c>
      <c r="H29" t="s">
        <v>316</v>
      </c>
    </row>
    <row r="31" spans="2:10" x14ac:dyDescent="0.25">
      <c r="B31" s="12" t="s">
        <v>309</v>
      </c>
      <c r="C31" t="s">
        <v>337</v>
      </c>
      <c r="D31" t="s">
        <v>338</v>
      </c>
      <c r="G31" s="12" t="s">
        <v>309</v>
      </c>
      <c r="H31" t="s">
        <v>337</v>
      </c>
      <c r="I31" t="s">
        <v>338</v>
      </c>
    </row>
    <row r="32" spans="2:10" x14ac:dyDescent="0.25">
      <c r="B32" s="14" t="s">
        <v>23</v>
      </c>
      <c r="C32" s="21">
        <v>147</v>
      </c>
      <c r="D32" s="13">
        <v>3847</v>
      </c>
      <c r="E32" s="19">
        <f>C32/C34</f>
        <v>0.49830508474576274</v>
      </c>
      <c r="F32" s="19">
        <f>D32/D34</f>
        <v>0.5039958076771911</v>
      </c>
      <c r="G32" s="14" t="s">
        <v>24</v>
      </c>
      <c r="H32" s="21">
        <v>71</v>
      </c>
      <c r="I32" s="13">
        <v>1754</v>
      </c>
    </row>
    <row r="33" spans="2:9" x14ac:dyDescent="0.25">
      <c r="B33" s="14" t="s">
        <v>19</v>
      </c>
      <c r="C33" s="21">
        <v>148</v>
      </c>
      <c r="D33" s="13">
        <v>3786</v>
      </c>
      <c r="E33" s="19">
        <f>C33/C34</f>
        <v>0.50169491525423726</v>
      </c>
      <c r="F33" s="19">
        <f>D33/D34</f>
        <v>0.49600419232280885</v>
      </c>
      <c r="G33" s="14" t="s">
        <v>20</v>
      </c>
      <c r="H33" s="21">
        <v>139</v>
      </c>
      <c r="I33" s="13">
        <v>3571</v>
      </c>
    </row>
    <row r="34" spans="2:9" x14ac:dyDescent="0.25">
      <c r="B34" s="14" t="s">
        <v>310</v>
      </c>
      <c r="C34" s="21">
        <v>295</v>
      </c>
      <c r="D34" s="13">
        <v>7633</v>
      </c>
      <c r="E34" s="19"/>
      <c r="F34" s="19"/>
      <c r="G34" s="14" t="s">
        <v>27</v>
      </c>
      <c r="H34" s="21">
        <v>85</v>
      </c>
      <c r="I34" s="13">
        <v>2308</v>
      </c>
    </row>
    <row r="35" spans="2:9" x14ac:dyDescent="0.25">
      <c r="G35" s="14" t="s">
        <v>310</v>
      </c>
      <c r="H35" s="21">
        <v>295</v>
      </c>
      <c r="I35" s="13">
        <v>7633</v>
      </c>
    </row>
    <row r="39" spans="2:9" x14ac:dyDescent="0.25">
      <c r="B39" s="12" t="s">
        <v>336</v>
      </c>
      <c r="C39" t="s">
        <v>316</v>
      </c>
    </row>
    <row r="40" spans="2:9" x14ac:dyDescent="0.25">
      <c r="B40" s="12" t="s">
        <v>15</v>
      </c>
      <c r="C40" t="s">
        <v>316</v>
      </c>
    </row>
    <row r="41" spans="2:9" x14ac:dyDescent="0.25">
      <c r="B41" s="12" t="s">
        <v>16</v>
      </c>
      <c r="C41" t="s">
        <v>316</v>
      </c>
    </row>
    <row r="43" spans="2:9" x14ac:dyDescent="0.25">
      <c r="B43" s="12" t="s">
        <v>309</v>
      </c>
      <c r="C43" t="s">
        <v>337</v>
      </c>
    </row>
    <row r="44" spans="2:9" x14ac:dyDescent="0.25">
      <c r="B44" s="14" t="s">
        <v>22</v>
      </c>
      <c r="C44" s="22">
        <v>0.34237288135593219</v>
      </c>
    </row>
    <row r="45" spans="2:9" x14ac:dyDescent="0.25">
      <c r="B45" s="14" t="s">
        <v>26</v>
      </c>
      <c r="C45" s="22">
        <v>0.3254237288135593</v>
      </c>
    </row>
    <row r="46" spans="2:9" x14ac:dyDescent="0.25">
      <c r="B46" s="14" t="s">
        <v>18</v>
      </c>
      <c r="C46" s="22">
        <v>0.33220338983050846</v>
      </c>
    </row>
    <row r="47" spans="2:9" x14ac:dyDescent="0.25">
      <c r="B47" s="14" t="s">
        <v>310</v>
      </c>
      <c r="C47" s="23">
        <v>1</v>
      </c>
    </row>
    <row r="51" spans="2:8" x14ac:dyDescent="0.25">
      <c r="B51" s="17" t="s">
        <v>321</v>
      </c>
      <c r="C51" s="17"/>
      <c r="D51" s="17"/>
      <c r="E51" s="17"/>
      <c r="F51" s="17"/>
    </row>
    <row r="52" spans="2:8" x14ac:dyDescent="0.25">
      <c r="B52" s="17" t="s">
        <v>322</v>
      </c>
      <c r="C52" s="17"/>
      <c r="D52" s="17"/>
      <c r="E52" s="17"/>
      <c r="F52" s="17"/>
    </row>
    <row r="53" spans="2:8" x14ac:dyDescent="0.25">
      <c r="B53" s="17" t="s">
        <v>323</v>
      </c>
      <c r="C53" s="17"/>
      <c r="D53" s="17"/>
      <c r="E53" s="17"/>
      <c r="F53" s="17"/>
    </row>
    <row r="55" spans="2:8" x14ac:dyDescent="0.25">
      <c r="B55" s="12" t="s">
        <v>336</v>
      </c>
      <c r="C55" t="s">
        <v>316</v>
      </c>
    </row>
    <row r="56" spans="2:8" x14ac:dyDescent="0.25">
      <c r="B56" s="12" t="s">
        <v>15</v>
      </c>
      <c r="C56" t="s">
        <v>316</v>
      </c>
    </row>
    <row r="57" spans="2:8" x14ac:dyDescent="0.25">
      <c r="B57" s="12" t="s">
        <v>16</v>
      </c>
      <c r="C57" t="s">
        <v>316</v>
      </c>
      <c r="F57" s="12" t="s">
        <v>336</v>
      </c>
      <c r="G57" t="s">
        <v>316</v>
      </c>
    </row>
    <row r="58" spans="2:8" x14ac:dyDescent="0.25">
      <c r="B58" s="12" t="s">
        <v>13</v>
      </c>
      <c r="C58" t="s">
        <v>316</v>
      </c>
      <c r="F58" s="12" t="s">
        <v>15</v>
      </c>
      <c r="G58" t="s">
        <v>316</v>
      </c>
    </row>
    <row r="59" spans="2:8" x14ac:dyDescent="0.25">
      <c r="F59" s="12" t="s">
        <v>16</v>
      </c>
      <c r="G59" t="s">
        <v>316</v>
      </c>
    </row>
    <row r="60" spans="2:8" x14ac:dyDescent="0.25">
      <c r="B60" s="12" t="s">
        <v>309</v>
      </c>
      <c r="C60" t="s">
        <v>337</v>
      </c>
      <c r="D60" t="s">
        <v>339</v>
      </c>
      <c r="F60" s="12" t="s">
        <v>13</v>
      </c>
      <c r="G60" t="s">
        <v>316</v>
      </c>
    </row>
    <row r="61" spans="2:8" x14ac:dyDescent="0.25">
      <c r="B61" s="14" t="s">
        <v>23</v>
      </c>
      <c r="C61" s="21">
        <v>101</v>
      </c>
      <c r="D61" s="24">
        <v>0</v>
      </c>
    </row>
    <row r="62" spans="2:8" x14ac:dyDescent="0.25">
      <c r="B62" s="14" t="s">
        <v>19</v>
      </c>
      <c r="C62" s="21">
        <v>194</v>
      </c>
      <c r="D62" s="24">
        <v>3880</v>
      </c>
      <c r="F62" t="s">
        <v>337</v>
      </c>
      <c r="G62" t="s">
        <v>341</v>
      </c>
    </row>
    <row r="63" spans="2:8" x14ac:dyDescent="0.25">
      <c r="B63" s="14" t="s">
        <v>310</v>
      </c>
      <c r="C63" s="21">
        <v>295</v>
      </c>
      <c r="D63" s="24">
        <v>3880</v>
      </c>
      <c r="F63" s="21">
        <v>295</v>
      </c>
      <c r="G63" s="24">
        <v>2935</v>
      </c>
    </row>
    <row r="64" spans="2:8" x14ac:dyDescent="0.25">
      <c r="E64" s="25">
        <f>D63/$G$73</f>
        <v>0.39774474628395695</v>
      </c>
      <c r="H64" s="25">
        <f>G63/$G$73</f>
        <v>0.300871348026653</v>
      </c>
    </row>
    <row r="65" spans="2:8" x14ac:dyDescent="0.25">
      <c r="B65" s="12" t="s">
        <v>336</v>
      </c>
      <c r="C65" t="s">
        <v>316</v>
      </c>
      <c r="F65" s="12" t="s">
        <v>336</v>
      </c>
      <c r="G65" t="s">
        <v>316</v>
      </c>
    </row>
    <row r="66" spans="2:8" x14ac:dyDescent="0.25">
      <c r="B66" s="12" t="s">
        <v>15</v>
      </c>
      <c r="C66" t="s">
        <v>316</v>
      </c>
      <c r="F66" s="12" t="s">
        <v>15</v>
      </c>
      <c r="G66" t="s">
        <v>316</v>
      </c>
    </row>
    <row r="67" spans="2:8" x14ac:dyDescent="0.25">
      <c r="B67" s="12" t="s">
        <v>16</v>
      </c>
      <c r="C67" t="s">
        <v>316</v>
      </c>
      <c r="F67" s="12" t="s">
        <v>16</v>
      </c>
      <c r="G67" t="s">
        <v>316</v>
      </c>
    </row>
    <row r="68" spans="2:8" x14ac:dyDescent="0.25">
      <c r="B68" s="12" t="s">
        <v>13</v>
      </c>
      <c r="C68" t="s">
        <v>316</v>
      </c>
      <c r="F68" s="12" t="s">
        <v>13</v>
      </c>
      <c r="G68" t="s">
        <v>316</v>
      </c>
    </row>
    <row r="70" spans="2:8" x14ac:dyDescent="0.25">
      <c r="B70" s="12" t="s">
        <v>309</v>
      </c>
      <c r="C70" t="s">
        <v>337</v>
      </c>
      <c r="D70" t="s">
        <v>340</v>
      </c>
      <c r="F70" t="s">
        <v>337</v>
      </c>
      <c r="G70" t="s">
        <v>342</v>
      </c>
      <c r="H70" t="s">
        <v>344</v>
      </c>
    </row>
    <row r="71" spans="2:8" x14ac:dyDescent="0.25">
      <c r="B71" s="14" t="s">
        <v>23</v>
      </c>
      <c r="C71" s="21">
        <v>197</v>
      </c>
      <c r="D71" s="24">
        <v>0</v>
      </c>
      <c r="F71" s="21">
        <v>295</v>
      </c>
      <c r="G71" s="24">
        <v>7633</v>
      </c>
      <c r="H71" s="24">
        <v>2122</v>
      </c>
    </row>
    <row r="72" spans="2:8" x14ac:dyDescent="0.25">
      <c r="B72" s="14" t="s">
        <v>19</v>
      </c>
      <c r="C72" s="21">
        <v>98</v>
      </c>
      <c r="D72" s="24">
        <v>2940</v>
      </c>
    </row>
    <row r="73" spans="2:8" x14ac:dyDescent="0.25">
      <c r="B73" s="14" t="s">
        <v>310</v>
      </c>
      <c r="C73" s="21">
        <v>295</v>
      </c>
      <c r="D73" s="24">
        <v>2940</v>
      </c>
      <c r="G73" s="24">
        <f>D63+D73+G63</f>
        <v>9755</v>
      </c>
    </row>
    <row r="74" spans="2:8" x14ac:dyDescent="0.25">
      <c r="E74" s="25">
        <f>D73/$G$73</f>
        <v>0.30138390568939005</v>
      </c>
    </row>
  </sheetData>
  <pageMargins left="0.511811024" right="0.511811024" top="0.78740157499999996" bottom="0.78740157499999996" header="0.31496062000000002" footer="0.31496062000000002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showRowColHeaders="0" tabSelected="1" zoomScale="130" zoomScaleNormal="130" workbookViewId="0">
      <selection activeCell="C2" sqref="C2"/>
    </sheetView>
  </sheetViews>
  <sheetFormatPr defaultColWidth="0" defaultRowHeight="15" zeroHeight="1" x14ac:dyDescent="0.25"/>
  <cols>
    <col min="1" max="1" width="27.7109375" style="4" customWidth="1"/>
    <col min="2" max="2" width="3.5703125" customWidth="1"/>
    <col min="3" max="11" width="9.140625" customWidth="1"/>
    <col min="12" max="12" width="6.5703125" customWidth="1"/>
    <col min="13" max="19" width="9.140625" customWidth="1"/>
    <col min="20" max="20" width="4.42578125" customWidth="1"/>
    <col min="21" max="16384" width="9.140625" hidden="1"/>
  </cols>
  <sheetData>
    <row r="1" spans="1:19" x14ac:dyDescent="0.25"/>
    <row r="2" spans="1:19" ht="27.75" customHeight="1" thickBot="1" x14ac:dyDescent="0.5">
      <c r="B2" s="16"/>
      <c r="C2" s="20" t="s">
        <v>315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  <c r="S2" s="16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hidden="1" x14ac:dyDescent="0.25">
      <c r="A51" s="4"/>
    </row>
    <row r="52" spans="1:1" s="7" customFormat="1" hidden="1" x14ac:dyDescent="0.25">
      <c r="A52" s="4"/>
    </row>
    <row r="53" spans="1:1" s="7" customFormat="1" hidden="1" x14ac:dyDescent="0.25">
      <c r="A53" s="4"/>
    </row>
    <row r="54" spans="1:1" s="7" customFormat="1" hidden="1" x14ac:dyDescent="0.25">
      <c r="A54" s="4"/>
    </row>
    <row r="55" spans="1:1" s="7" customFormat="1" hidden="1" x14ac:dyDescent="0.25">
      <c r="A55" s="4"/>
    </row>
    <row r="56" spans="1:1" s="7" customFormat="1" hidden="1" x14ac:dyDescent="0.25">
      <c r="A56" s="4"/>
    </row>
    <row r="57" spans="1:1" s="7" customFormat="1" hidden="1" x14ac:dyDescent="0.25">
      <c r="A57" s="4"/>
    </row>
    <row r="58" spans="1:1" s="7" customFormat="1" hidden="1" x14ac:dyDescent="0.25">
      <c r="A58" s="4"/>
    </row>
    <row r="59" spans="1:1" s="7" customFormat="1" hidden="1" x14ac:dyDescent="0.25">
      <c r="A59" s="4"/>
    </row>
    <row r="60" spans="1:1" s="7" customFormat="1" hidden="1" x14ac:dyDescent="0.25">
      <c r="A60" s="4"/>
    </row>
    <row r="61" spans="1:1" s="7" customFormat="1" hidden="1" x14ac:dyDescent="0.25">
      <c r="A61" s="4"/>
    </row>
    <row r="62" spans="1:1" s="7" customFormat="1" hidden="1" x14ac:dyDescent="0.25">
      <c r="A62" s="4"/>
    </row>
    <row r="63" spans="1:1" s="7" customFormat="1" hidden="1" x14ac:dyDescent="0.25">
      <c r="A63" s="4"/>
    </row>
    <row r="64" spans="1:1" s="7" customFormat="1" hidden="1" x14ac:dyDescent="0.25">
      <c r="A64" s="4"/>
    </row>
    <row r="65" spans="1:1" s="7" customFormat="1" hidden="1" x14ac:dyDescent="0.25">
      <c r="A65" s="4"/>
    </row>
    <row r="66" spans="1:1" s="7" customFormat="1" hidden="1" x14ac:dyDescent="0.25">
      <c r="A66" s="4"/>
    </row>
    <row r="67" spans="1:1" s="7" customFormat="1" hidden="1" x14ac:dyDescent="0.25">
      <c r="A67" s="4"/>
    </row>
    <row r="68" spans="1:1" s="7" customFormat="1" hidden="1" x14ac:dyDescent="0.25">
      <c r="A68" s="4"/>
    </row>
    <row r="69" spans="1:1" s="7" customFormat="1" hidden="1" x14ac:dyDescent="0.25">
      <c r="A69" s="4"/>
    </row>
    <row r="70" spans="1:1" s="7" customFormat="1" hidden="1" x14ac:dyDescent="0.25">
      <c r="A70" s="4"/>
    </row>
    <row r="71" spans="1:1" s="7" customFormat="1" hidden="1" x14ac:dyDescent="0.25">
      <c r="A71" s="4"/>
    </row>
    <row r="72" spans="1:1" s="7" customFormat="1" hidden="1" x14ac:dyDescent="0.25">
      <c r="A72" s="4"/>
    </row>
    <row r="73" spans="1:1" s="7" customFormat="1" hidden="1" x14ac:dyDescent="0.25">
      <c r="A73" s="4"/>
    </row>
    <row r="74" spans="1:1" s="7" customFormat="1" hidden="1" x14ac:dyDescent="0.25">
      <c r="A74" s="4"/>
    </row>
    <row r="75" spans="1:1" s="7" customFormat="1" hidden="1" x14ac:dyDescent="0.25">
      <c r="A75" s="4"/>
    </row>
    <row r="76" spans="1:1" s="7" customFormat="1" hidden="1" x14ac:dyDescent="0.25">
      <c r="A76" s="4"/>
    </row>
    <row r="77" spans="1:1" s="7" customFormat="1" hidden="1" x14ac:dyDescent="0.25">
      <c r="A77" s="4"/>
    </row>
    <row r="78" spans="1:1" s="7" customFormat="1" hidden="1" x14ac:dyDescent="0.25">
      <c r="A78" s="4"/>
    </row>
    <row r="79" spans="1:1" s="7" customFormat="1" hidden="1" x14ac:dyDescent="0.25">
      <c r="A79" s="4"/>
    </row>
    <row r="80" spans="1:1" s="7" customFormat="1" hidden="1" x14ac:dyDescent="0.25">
      <c r="A80" s="4"/>
    </row>
    <row r="81" spans="1:1" s="7" customFormat="1" hidden="1" x14ac:dyDescent="0.25">
      <c r="A81" s="4"/>
    </row>
    <row r="82" spans="1:1" s="7" customFormat="1" hidden="1" x14ac:dyDescent="0.25">
      <c r="A82" s="4"/>
    </row>
    <row r="83" spans="1:1" s="7" customFormat="1" hidden="1" x14ac:dyDescent="0.25">
      <c r="A83" s="4"/>
    </row>
    <row r="84" spans="1:1" s="7" customFormat="1" hidden="1" x14ac:dyDescent="0.25">
      <c r="A84" s="4"/>
    </row>
    <row r="85" spans="1:1" s="7" customFormat="1" hidden="1" x14ac:dyDescent="0.25">
      <c r="A85" s="4"/>
    </row>
    <row r="86" spans="1:1" s="7" customFormat="1" hidden="1" x14ac:dyDescent="0.25">
      <c r="A86" s="4"/>
    </row>
    <row r="87" spans="1:1" s="7" customFormat="1" hidden="1" x14ac:dyDescent="0.25">
      <c r="A87" s="4"/>
    </row>
    <row r="88" spans="1:1" s="7" customFormat="1" hidden="1" x14ac:dyDescent="0.25">
      <c r="A88" s="4"/>
    </row>
    <row r="89" spans="1:1" s="7" customFormat="1" hidden="1" x14ac:dyDescent="0.25">
      <c r="A89" s="4"/>
    </row>
    <row r="90" spans="1:1" s="7" customFormat="1" hidden="1" x14ac:dyDescent="0.25">
      <c r="A90" s="4"/>
    </row>
    <row r="91" spans="1:1" s="7" customFormat="1" hidden="1" x14ac:dyDescent="0.25">
      <c r="A91" s="4"/>
    </row>
    <row r="92" spans="1:1" s="7" customFormat="1" hidden="1" x14ac:dyDescent="0.25">
      <c r="A92" s="4"/>
    </row>
    <row r="93" spans="1:1" s="7" customFormat="1" hidden="1" x14ac:dyDescent="0.25">
      <c r="A93" s="4"/>
    </row>
    <row r="94" spans="1:1" s="7" customFormat="1" hidden="1" x14ac:dyDescent="0.25">
      <c r="A94" s="4"/>
    </row>
    <row r="95" spans="1:1" s="7" customFormat="1" hidden="1" x14ac:dyDescent="0.25">
      <c r="A95" s="4"/>
    </row>
    <row r="96" spans="1:1" s="7" customFormat="1" hidden="1" x14ac:dyDescent="0.25">
      <c r="A96" s="4"/>
    </row>
    <row r="97" spans="1:1" s="7" customFormat="1" hidden="1" x14ac:dyDescent="0.25">
      <c r="A97" s="4"/>
    </row>
    <row r="98" spans="1:1" s="7" customFormat="1" hidden="1" x14ac:dyDescent="0.25">
      <c r="A98" s="4"/>
    </row>
    <row r="99" spans="1:1" s="7" customFormat="1" hidden="1" x14ac:dyDescent="0.25">
      <c r="A99" s="4"/>
    </row>
    <row r="100" spans="1:1" s="7" customFormat="1" hidden="1" x14ac:dyDescent="0.25">
      <c r="A100" s="4"/>
    </row>
    <row r="101" spans="1:1" s="7" customFormat="1" hidden="1" x14ac:dyDescent="0.25">
      <c r="A101" s="4"/>
    </row>
    <row r="102" spans="1:1" s="7" customFormat="1" hidden="1" x14ac:dyDescent="0.25">
      <c r="A102" s="4"/>
    </row>
    <row r="103" spans="1:1" s="7" customFormat="1" hidden="1" x14ac:dyDescent="0.25">
      <c r="A103" s="4"/>
    </row>
    <row r="104" spans="1:1" s="7" customFormat="1" hidden="1" x14ac:dyDescent="0.25">
      <c r="A104" s="4"/>
    </row>
    <row r="105" spans="1:1" s="7" customFormat="1" hidden="1" x14ac:dyDescent="0.25">
      <c r="A105" s="4"/>
    </row>
    <row r="106" spans="1:1" s="7" customFormat="1" hidden="1" x14ac:dyDescent="0.25">
      <c r="A106" s="4"/>
    </row>
    <row r="107" spans="1:1" s="7" customFormat="1" hidden="1" x14ac:dyDescent="0.25">
      <c r="A107" s="4"/>
    </row>
    <row r="108" spans="1:1" s="7" customFormat="1" hidden="1" x14ac:dyDescent="0.25">
      <c r="A108" s="4"/>
    </row>
    <row r="109" spans="1:1" s="7" customFormat="1" hidden="1" x14ac:dyDescent="0.25">
      <c r="A109" s="4"/>
    </row>
    <row r="110" spans="1:1" s="7" customFormat="1" hidden="1" x14ac:dyDescent="0.25">
      <c r="A110" s="4"/>
    </row>
    <row r="111" spans="1:1" s="7" customFormat="1" hidden="1" x14ac:dyDescent="0.25">
      <c r="A111" s="4"/>
    </row>
    <row r="112" spans="1:1" s="7" customFormat="1" hidden="1" x14ac:dyDescent="0.25">
      <c r="A112" s="4"/>
    </row>
    <row r="113" spans="1:1" s="7" customFormat="1" hidden="1" x14ac:dyDescent="0.25">
      <c r="A113" s="4"/>
    </row>
    <row r="114" spans="1:1" s="7" customFormat="1" hidden="1" x14ac:dyDescent="0.25">
      <c r="A114" s="4"/>
    </row>
    <row r="115" spans="1:1" s="7" customFormat="1" hidden="1" x14ac:dyDescent="0.25">
      <c r="A115" s="4"/>
    </row>
    <row r="116" spans="1:1" s="7" customFormat="1" hidden="1" x14ac:dyDescent="0.25">
      <c r="A116" s="4"/>
    </row>
    <row r="117" spans="1:1" s="7" customFormat="1" hidden="1" x14ac:dyDescent="0.25">
      <c r="A117" s="4"/>
    </row>
    <row r="118" spans="1:1" s="7" customFormat="1" hidden="1" x14ac:dyDescent="0.25">
      <c r="A118" s="4"/>
    </row>
    <row r="119" spans="1:1" s="7" customFormat="1" hidden="1" x14ac:dyDescent="0.25">
      <c r="A119" s="4"/>
    </row>
    <row r="120" spans="1:1" s="7" customFormat="1" hidden="1" x14ac:dyDescent="0.25">
      <c r="A120" s="4"/>
    </row>
    <row r="121" spans="1:1" s="7" customFormat="1" hidden="1" x14ac:dyDescent="0.25">
      <c r="A121" s="4"/>
    </row>
    <row r="122" spans="1:1" s="7" customFormat="1" hidden="1" x14ac:dyDescent="0.25">
      <c r="A122" s="4"/>
    </row>
    <row r="123" spans="1:1" s="7" customFormat="1" hidden="1" x14ac:dyDescent="0.25">
      <c r="A123" s="4"/>
    </row>
    <row r="124" spans="1:1" s="7" customFormat="1" hidden="1" x14ac:dyDescent="0.25">
      <c r="A124" s="4"/>
    </row>
    <row r="125" spans="1:1" s="7" customFormat="1" hidden="1" x14ac:dyDescent="0.25">
      <c r="A125" s="4"/>
    </row>
    <row r="126" spans="1:1" s="7" customFormat="1" hidden="1" x14ac:dyDescent="0.25">
      <c r="A126" s="4"/>
    </row>
    <row r="127" spans="1:1" s="7" customFormat="1" hidden="1" x14ac:dyDescent="0.25">
      <c r="A127" s="4"/>
    </row>
    <row r="128" spans="1:1" s="7" customFormat="1" hidden="1" x14ac:dyDescent="0.25">
      <c r="A128" s="4"/>
    </row>
    <row r="129" spans="1:1" s="7" customFormat="1" hidden="1" x14ac:dyDescent="0.25">
      <c r="A129" s="4"/>
    </row>
    <row r="130" spans="1:1" s="7" customFormat="1" hidden="1" x14ac:dyDescent="0.25">
      <c r="A130" s="4"/>
    </row>
    <row r="131" spans="1:1" s="7" customFormat="1" hidden="1" x14ac:dyDescent="0.25">
      <c r="A131" s="4"/>
    </row>
    <row r="132" spans="1:1" s="7" customFormat="1" hidden="1" x14ac:dyDescent="0.25">
      <c r="A132" s="4"/>
    </row>
    <row r="133" spans="1:1" s="7" customFormat="1" hidden="1" x14ac:dyDescent="0.25">
      <c r="A133" s="4"/>
    </row>
    <row r="134" spans="1:1" s="7" customFormat="1" hidden="1" x14ac:dyDescent="0.25">
      <c r="A134" s="4"/>
    </row>
    <row r="135" spans="1:1" s="7" customFormat="1" hidden="1" x14ac:dyDescent="0.25">
      <c r="A135" s="4"/>
    </row>
    <row r="136" spans="1:1" s="7" customFormat="1" hidden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Juliana Forgati</cp:lastModifiedBy>
  <dcterms:created xsi:type="dcterms:W3CDTF">2024-12-19T13:13:10Z</dcterms:created>
  <dcterms:modified xsi:type="dcterms:W3CDTF">2026-01-19T23:30:42Z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